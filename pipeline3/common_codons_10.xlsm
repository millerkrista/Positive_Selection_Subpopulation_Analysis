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nih-my.sharepoint.com/personal/millerkrs_nih_gov/Documents/"/>
    </mc:Choice>
  </mc:AlternateContent>
  <xr:revisionPtr revIDLastSave="27" documentId="8_{90BC163C-A35D-6045-8D5F-35E8CBD14639}" xr6:coauthVersionLast="47" xr6:coauthVersionMax="47" xr10:uidLastSave="{09E144E1-C3BC-9843-9696-7AD65D5CE911}"/>
  <bookViews>
    <workbookView xWindow="21400" yWindow="500" windowWidth="14000" windowHeight="17900" xr2:uid="{7BD3DADD-10D5-A34E-A246-3125A184F4E2}"/>
  </bookViews>
  <sheets>
    <sheet name="common_codons_10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<sst xmlns="http://schemas.openxmlformats.org/spreadsheetml/2006/main" count="525" uniqueCount="149">
  <si>
    <t>cell2_bc1018</t>
  </si>
  <si>
    <t>520_1</t>
  </si>
  <si>
    <t>cell2_bc1010</t>
  </si>
  <si>
    <t>522_1</t>
  </si>
  <si>
    <t>cell3_bc1010</t>
  </si>
  <si>
    <t>cell3_bc1011</t>
  </si>
  <si>
    <t>523_1</t>
  </si>
  <si>
    <t>cell3_bc1009</t>
  </si>
  <si>
    <t>518_1</t>
  </si>
  <si>
    <t>cell2_bc1011</t>
  </si>
  <si>
    <t>516_1</t>
  </si>
  <si>
    <t>cell3_bc1008</t>
  </si>
  <si>
    <t>cell2_bc1019</t>
  </si>
  <si>
    <t>521_1</t>
  </si>
  <si>
    <t>cell3_bc1017</t>
  </si>
  <si>
    <t>cell2_bc1012</t>
  </si>
  <si>
    <t>cell2_bc1021</t>
  </si>
  <si>
    <t>cell3_bc1001</t>
  </si>
  <si>
    <t>cell2_bc1020</t>
  </si>
  <si>
    <t>cell2_bc1016</t>
  </si>
  <si>
    <t>519_1</t>
  </si>
  <si>
    <t>cell3_bc1003</t>
  </si>
  <si>
    <t>cell2_bc1022</t>
  </si>
  <si>
    <t>cell3_bc1016</t>
  </si>
  <si>
    <t>cell3_bc1015</t>
  </si>
  <si>
    <t>cell2_bc1009</t>
  </si>
  <si>
    <t>517_1</t>
  </si>
  <si>
    <t>cell2_bc1015</t>
  </si>
  <si>
    <t>cell2_bc1017</t>
  </si>
  <si>
    <t>Participants with Significant Positive Selection</t>
  </si>
  <si>
    <t>Position 140</t>
  </si>
  <si>
    <t>Participant Position</t>
  </si>
  <si>
    <t>Subpopulation Notes</t>
  </si>
  <si>
    <t>P(dS&lt;dN)</t>
  </si>
  <si>
    <t>Tajima's D</t>
  </si>
  <si>
    <t>Peak, but not very large in magnitude</t>
  </si>
  <si>
    <t>Gentle upward slope, but far below zero</t>
  </si>
  <si>
    <t>Yes</t>
  </si>
  <si>
    <t>Low</t>
  </si>
  <si>
    <t>Peak</t>
  </si>
  <si>
    <t>sharp peaks, around 0</t>
  </si>
  <si>
    <t>Peak, below 0</t>
  </si>
  <si>
    <t>Trough, but peaks on either side and trough is around 1</t>
  </si>
  <si>
    <t>Small peak, below zero</t>
  </si>
  <si>
    <t>Peak, below zero</t>
  </si>
  <si>
    <t>Position 336</t>
  </si>
  <si>
    <t>Yes, peak</t>
  </si>
  <si>
    <t>Small peak</t>
  </si>
  <si>
    <t>No peak, valley</t>
  </si>
  <si>
    <t>Valley</t>
  </si>
  <si>
    <t>plateau</t>
  </si>
  <si>
    <t>plateau (surprising considering two groups)</t>
  </si>
  <si>
    <t>plateau at 0</t>
  </si>
  <si>
    <t>No</t>
  </si>
  <si>
    <t>Position 343</t>
  </si>
  <si>
    <t>downward slope</t>
  </si>
  <si>
    <t>valley</t>
  </si>
  <si>
    <t>not really, very few sequences</t>
  </si>
  <si>
    <t>Position 347</t>
  </si>
  <si>
    <t>Position 360</t>
  </si>
  <si>
    <t>Position 407</t>
  </si>
  <si>
    <t>POST-V3</t>
  </si>
  <si>
    <t>V1</t>
  </si>
  <si>
    <t>V4</t>
  </si>
  <si>
    <t>Position 408</t>
  </si>
  <si>
    <t>Position 410</t>
  </si>
  <si>
    <t>Position 411</t>
  </si>
  <si>
    <t>Position 412</t>
  </si>
  <si>
    <t>Position 461</t>
  </si>
  <si>
    <t>Position 464</t>
  </si>
  <si>
    <t>V5</t>
  </si>
  <si>
    <t>small bump, mostly plateau</t>
  </si>
  <si>
    <t>large peak</t>
  </si>
  <si>
    <t>sharp dip</t>
  </si>
  <si>
    <t>upward slope</t>
  </si>
  <si>
    <t>rough peak</t>
  </si>
  <si>
    <t>rough valley</t>
  </si>
  <si>
    <t>rough peaks and valleys below zero</t>
  </si>
  <si>
    <t>small sharp peak followed by plateau</t>
  </si>
  <si>
    <t>upward slope, peak after V4</t>
  </si>
  <si>
    <t>rough downward slope into valley</t>
  </si>
  <si>
    <t>sharp valley</t>
  </si>
  <si>
    <t>upward slope into peak</t>
  </si>
  <si>
    <t>peak at end of V4</t>
  </si>
  <si>
    <t>valley, low peak at end of V4</t>
  </si>
  <si>
    <t>valley followed by dull low peak</t>
  </si>
  <si>
    <t>sharp peak at end of V4</t>
  </si>
  <si>
    <t>sharp peak</t>
  </si>
  <si>
    <t>Yes, a little</t>
  </si>
  <si>
    <t>Somewhat, but not associated with position 376 (360)</t>
  </si>
  <si>
    <t>D(2F5); E(2F5); T(10E8)</t>
  </si>
  <si>
    <t>A(2F5); S(4E10, DH511.2_K3); T(4E10, 2F5)</t>
  </si>
  <si>
    <t>S(PGT121); T(10.1074, 10.996, 10.1074V, DH270.1, DH270.5, DH270.6, PGT121, PGT123, PGT128)</t>
  </si>
  <si>
    <t>A(10.1074, 10.996, DH270.6, PGT121, PGT123, PGT126, PGT128); E(10.1074)</t>
  </si>
  <si>
    <t>Position Notes</t>
  </si>
  <si>
    <t>Mutations associated with resistance to neutralization</t>
  </si>
  <si>
    <t>Mutations associated with sensitivity to neutralization</t>
  </si>
  <si>
    <t>E(NIH45.46); G(12A12, NIH45.46); H(3BC176); Y(NIH45.46)</t>
  </si>
  <si>
    <t>K(12A12); N(8ANC131)</t>
  </si>
  <si>
    <t>Nothing!!</t>
  </si>
  <si>
    <t>CH103: Insertions in the V1 hypervariable region arose very early in the subject CH505, and drove escape from early members of the CH103 lineage; these forms were recognized by later members of the lineage; these forms carried potential N-linked glycosylation sites.</t>
  </si>
  <si>
    <t>CH103 and CH235 evolution</t>
  </si>
  <si>
    <t>S(PGT121)</t>
  </si>
  <si>
    <t>M(PGT127); T(PGT135)</t>
  </si>
  <si>
    <t>G(PGT121); NxST(10.1074V)</t>
  </si>
  <si>
    <t>CD4</t>
    <phoneticPr fontId="1" type="noConversion"/>
  </si>
  <si>
    <t>VRC01</t>
    <phoneticPr fontId="1" type="noConversion"/>
  </si>
  <si>
    <t>VRC01: is ranked 6th among the 10 highest in terms of co-variation with CD4bs bNAb VRC01 and structure</t>
  </si>
  <si>
    <t>3BNC117</t>
  </si>
  <si>
    <t>NIH45-46 461N L 3V 3.41</t>
  </si>
  <si>
    <t>N461A enhances PGV04 and VRC01, no impact on CD4-IgG and b12</t>
  </si>
  <si>
    <t>CH103: H bond/salt bridge</t>
  </si>
  <si>
    <t>CH103: Insertions in the V5 hypervariable region conferred resistance to emerging members of the CH103 lineage</t>
  </si>
  <si>
    <t>N6 contact</t>
  </si>
  <si>
    <t>HJ16</t>
  </si>
  <si>
    <t>VRC18</t>
  </si>
  <si>
    <t>1B2530</t>
  </si>
  <si>
    <t>8ANC131</t>
  </si>
  <si>
    <t>CD4 contacts</t>
  </si>
  <si>
    <t>VRC01 contacts</t>
  </si>
  <si>
    <t>VRC01 residue prediction</t>
  </si>
  <si>
    <t>3BNC117 contacts</t>
  </si>
  <si>
    <t>NIH45-46 contacts; gp120aa heavy (H) or light (L), Abaa, distance; details provided by Anthony West</t>
  </si>
  <si>
    <t>Mutations affecting PGV04, b12, VRC01, CD4-IgG</t>
  </si>
  <si>
    <t>CH103 contact &amp; bonding</t>
  </si>
  <si>
    <t>N6 contacts</t>
  </si>
  <si>
    <t>HJ16 contacts</t>
  </si>
  <si>
    <t>VRC18 contacts</t>
  </si>
  <si>
    <t>1B2530 contacts</t>
  </si>
  <si>
    <t>8ANC131 contacts</t>
  </si>
  <si>
    <t>Somewhat? Very few sequences</t>
  </si>
  <si>
    <t>Yes--dual infection but subpopulations within; alignment might need adjustment</t>
  </si>
  <si>
    <t>Yes, but alignment needs work</t>
  </si>
  <si>
    <t>Somewhat, Four sequences have a unique insertion</t>
  </si>
  <si>
    <t>Yes, antibody escape</t>
  </si>
  <si>
    <t>Somewhat, not many sequences</t>
  </si>
  <si>
    <t>Somewhat, very few sequences</t>
  </si>
  <si>
    <t>plateau below zero</t>
  </si>
  <si>
    <t>upward slope into peak after V5</t>
  </si>
  <si>
    <t>peak</t>
  </si>
  <si>
    <t>No, two positions variable</t>
  </si>
  <si>
    <t>No, dual infection</t>
  </si>
  <si>
    <t>Yes, some sequences have insertion</t>
  </si>
  <si>
    <t>low plateau</t>
  </si>
  <si>
    <t>plateau around 0</t>
  </si>
  <si>
    <t>Massive insertions, might just be poor alignment</t>
  </si>
  <si>
    <t>No, but massive insertions again</t>
  </si>
  <si>
    <t>Yes, dual infection</t>
  </si>
  <si>
    <t>No, only two positions vary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</si>
</sst>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sz val="10"/>
      <name val="Verdana"/>
      <family val="2"/>
    </font>
    <font>
      <sz val="12"/>
      <color theme="1"/>
      <name val="Aptos Narrow"/>
      <scheme val="minor"/>
    </font>
    <font>
      <b/>
      <sz val="22"/>
      <color theme="1"/>
      <name val="Aptos Narrow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6">
    <xf numFmtId="0" fontId="0" fillId="0" borderId="0" xfId="0"/>
    <xf numFmtId="0" fontId="0" fillId="0" borderId="0" xfId="0" quotePrefix="1"/>
    <xf numFmtId="0" fontId="0" fillId="33" borderId="0" xfId="0" applyFill="1"/>
    <xf numFmtId="0" fontId="0" fillId="0" borderId="0" xfId="0" quotePrefix="1" applyNumberFormat="1"/>
    <xf numFmtId="11" fontId="0" fillId="0" borderId="0" xfId="0" quotePrefix="1" applyNumberFormat="1"/>
    <xf numFmtId="0" fontId="0" fillId="0" borderId="0" xfId="0" applyFill="1"/>
    <xf numFmtId="0" fontId="0" fillId="0" borderId="0" xfId="0" quotePrefix="1" applyFill="1"/>
    <xf numFmtId="0" fontId="0" fillId="34" borderId="10" xfId="0" applyFill="1" applyBorder="1"/>
    <xf numFmtId="0" fontId="0" fillId="34" borderId="10" xfId="0" applyFont="1" applyFill="1" applyBorder="1"/>
    <xf numFmtId="0" fontId="0" fillId="34" borderId="10" xfId="0" quotePrefix="1" applyFont="1" applyFill="1" applyBorder="1"/>
    <xf numFmtId="0" fontId="0" fillId="34" borderId="10" xfId="0" quotePrefix="1" applyFill="1" applyBorder="1"/>
    <xf numFmtId="0" fontId="0" fillId="34" borderId="11" xfId="0" applyFill="1" applyBorder="1"/>
    <xf numFmtId="0" fontId="0" fillId="34" borderId="12" xfId="0" applyFill="1" applyBorder="1"/>
    <xf numFmtId="11" fontId="0" fillId="0" borderId="0" xfId="0" quotePrefix="1" applyNumberFormat="1" applyFill="1"/>
    <xf numFmtId="0" fontId="0" fillId="0" borderId="13" xfId="0" applyFill="1" applyBorder="1"/>
    <xf numFmtId="0" fontId="0" fillId="0" borderId="0" xfId="0" applyFill="1" applyBorder="1"/>
    <xf numFmtId="0" fontId="0" fillId="0" borderId="14" xfId="0" applyFill="1" applyBorder="1"/>
    <xf numFmtId="0" fontId="0" fillId="0" borderId="0" xfId="0" quotePrefix="1" applyFill="1" applyBorder="1"/>
    <xf numFmtId="11" fontId="0" fillId="0" borderId="0" xfId="0" quotePrefix="1" applyNumberFormat="1" applyFill="1" applyBorder="1"/>
    <xf numFmtId="0" fontId="19" fillId="35" borderId="10" xfId="0" applyFont="1" applyFill="1" applyBorder="1"/>
    <xf numFmtId="0" fontId="0" fillId="38" borderId="10" xfId="0" applyFill="1" applyBorder="1" applyAlignment="1">
      <alignment wrapText="1"/>
    </xf>
    <xf numFmtId="0" fontId="0" fillId="38" borderId="10" xfId="0" applyFill="1" applyBorder="1"/>
    <xf numFmtId="0" fontId="20" fillId="36" borderId="10" xfId="0" applyFont="1" applyFill="1" applyBorder="1" applyAlignment="1">
      <alignment wrapText="1"/>
    </xf>
    <xf numFmtId="0" fontId="20" fillId="37" borderId="10" xfId="0" applyFont="1" applyFill="1" applyBorder="1" applyAlignment="1">
      <alignment wrapText="1"/>
    </xf>
    <xf numFmtId="0" fontId="0" fillId="36" borderId="10" xfId="0" applyFill="1" applyBorder="1" applyAlignment="1">
      <alignment horizontal="left"/>
    </xf>
    <xf numFmtId="0" fontId="0" fillId="37" borderId="10" xfId="0" applyFill="1" applyBorder="1" applyAlignment="1">
      <alignment horizontal="left"/>
    </xf>
    <xf numFmtId="0" fontId="0" fillId="40" borderId="10" xfId="0" applyFill="1" applyBorder="1" applyAlignment="1">
      <alignment wrapText="1"/>
    </xf>
    <xf numFmtId="0" fontId="0" fillId="41" borderId="10" xfId="0" applyFill="1" applyBorder="1" applyAlignment="1">
      <alignment wrapText="1"/>
    </xf>
    <xf numFmtId="0" fontId="0" fillId="42" borderId="10" xfId="0" applyFill="1" applyBorder="1" applyAlignment="1">
      <alignment wrapText="1"/>
    </xf>
    <xf numFmtId="0" fontId="0" fillId="43" borderId="10" xfId="0" applyFill="1" applyBorder="1" applyAlignment="1">
      <alignment wrapText="1"/>
    </xf>
    <xf numFmtId="0" fontId="0" fillId="44" borderId="10" xfId="0" applyFill="1" applyBorder="1" applyAlignment="1">
      <alignment wrapText="1"/>
    </xf>
    <xf numFmtId="0" fontId="0" fillId="45" borderId="10" xfId="0" applyFill="1" applyBorder="1" applyAlignment="1">
      <alignment wrapText="1"/>
    </xf>
    <xf numFmtId="0" fontId="0" fillId="46" borderId="10" xfId="0" applyFill="1" applyBorder="1" applyAlignment="1">
      <alignment wrapText="1"/>
    </xf>
    <xf numFmtId="0" fontId="0" fillId="47" borderId="10" xfId="0" applyFill="1" applyBorder="1" applyAlignment="1">
      <alignment wrapText="1"/>
    </xf>
    <xf numFmtId="0" fontId="0" fillId="48" borderId="10" xfId="0" applyFill="1" applyBorder="1" applyAlignment="1">
      <alignment wrapText="1"/>
    </xf>
    <xf numFmtId="0" fontId="0" fillId="49" borderId="10" xfId="0" applyFill="1" applyBorder="1" applyAlignment="1">
      <alignment wrapText="1"/>
    </xf>
    <xf numFmtId="0" fontId="0" fillId="34" borderId="10" xfId="0" applyFill="1" applyBorder="1" applyAlignment="1">
      <alignment wrapText="1"/>
    </xf>
    <xf numFmtId="0" fontId="0" fillId="40" borderId="10" xfId="0" applyFill="1" applyBorder="1"/>
    <xf numFmtId="0" fontId="0" fillId="41" borderId="10" xfId="0" applyFill="1" applyBorder="1"/>
    <xf numFmtId="0" fontId="0" fillId="43" borderId="10" xfId="0" applyFill="1" applyBorder="1"/>
    <xf numFmtId="0" fontId="0" fillId="44" borderId="10" xfId="0" applyFill="1" applyBorder="1"/>
    <xf numFmtId="0" fontId="20" fillId="45" borderId="10" xfId="0" applyFont="1" applyFill="1" applyBorder="1"/>
    <xf numFmtId="0" fontId="0" fillId="46" borderId="10" xfId="0" applyFill="1" applyBorder="1"/>
    <xf numFmtId="0" fontId="0" fillId="47" borderId="10" xfId="0" applyFill="1" applyBorder="1"/>
    <xf numFmtId="0" fontId="0" fillId="48" borderId="10" xfId="0" applyFill="1" applyBorder="1"/>
    <xf numFmtId="0" fontId="0" fillId="49" borderId="10" xfId="0" applyFill="1" applyBorder="1"/>
    <xf numFmtId="0" fontId="21" fillId="34" borderId="10" xfId="0" applyFont="1" applyFill="1" applyBorder="1"/>
    <xf numFmtId="0" fontId="20" fillId="36" borderId="15" xfId="0" applyFont="1" applyFill="1" applyBorder="1" applyAlignment="1">
      <alignment wrapText="1"/>
    </xf>
    <xf numFmtId="0" fontId="0" fillId="36" borderId="15" xfId="0" applyFill="1" applyBorder="1" applyAlignment="1">
      <alignment horizontal="left"/>
    </xf>
    <xf numFmtId="0" fontId="0" fillId="34" borderId="15" xfId="0" applyFill="1" applyBorder="1"/>
    <xf numFmtId="0" fontId="22" fillId="34" borderId="16" xfId="0" applyFont="1" applyFill="1" applyBorder="1" applyAlignment="1">
      <alignment horizontal="center"/>
    </xf>
    <xf numFmtId="0" fontId="22" fillId="34" borderId="17" xfId="0" applyFont="1" applyFill="1" applyBorder="1" applyAlignment="1">
      <alignment horizontal="center"/>
    </xf>
    <xf numFmtId="0" fontId="22" fillId="34" borderId="18" xfId="0" applyFont="1" applyFill="1" applyBorder="1" applyAlignment="1">
      <alignment horizontal="center"/>
    </xf>
    <xf numFmtId="0" fontId="18" fillId="34" borderId="19" xfId="0" applyFont="1" applyFill="1" applyBorder="1"/>
    <xf numFmtId="0" fontId="0" fillId="34" borderId="20" xfId="0" applyFill="1" applyBorder="1"/>
    <xf numFmtId="0" fontId="0" fillId="34" borderId="19" xfId="0" applyFill="1" applyBorder="1"/>
    <xf numFmtId="0" fontId="21" fillId="34" borderId="19" xfId="0" applyFont="1" applyFill="1" applyBorder="1"/>
    <xf numFmtId="0" fontId="21" fillId="34" borderId="21" xfId="0" applyFont="1" applyFill="1" applyBorder="1"/>
    <xf numFmtId="0" fontId="0" fillId="0" borderId="22" xfId="0" applyFill="1" applyBorder="1"/>
    <xf numFmtId="0" fontId="0" fillId="0" borderId="23" xfId="0" applyFill="1" applyBorder="1"/>
    <xf numFmtId="0" fontId="0" fillId="0" borderId="24" xfId="0" applyFill="1" applyBorder="1"/>
    <xf numFmtId="0" fontId="0" fillId="0" borderId="25" xfId="0" applyFill="1" applyBorder="1"/>
    <xf numFmtId="0" fontId="18" fillId="34" borderId="26" xfId="0" applyFont="1" applyFill="1" applyBorder="1"/>
    <xf numFmtId="0" fontId="0" fillId="34" borderId="20" xfId="0" quotePrefix="1" applyFill="1" applyBorder="1"/>
    <xf numFmtId="0" fontId="0" fillId="34" borderId="27" xfId="0" applyFill="1" applyBorder="1"/>
    <xf numFmtId="0" fontId="0" fillId="34" borderId="28" xfId="0" applyFill="1" applyBorder="1"/>
    <xf numFmtId="0" fontId="0" fillId="34" borderId="29" xfId="0" applyFill="1" applyBorder="1"/>
    <xf numFmtId="0" fontId="0" fillId="38" borderId="15" xfId="0" applyFill="1" applyBorder="1" applyAlignment="1">
      <alignment wrapText="1"/>
    </xf>
    <xf numFmtId="0" fontId="0" fillId="38" borderId="15" xfId="0" applyFill="1" applyBorder="1"/>
    <xf numFmtId="0" fontId="20" fillId="37" borderId="15" xfId="0" applyFont="1" applyFill="1" applyBorder="1" applyAlignment="1">
      <alignment wrapText="1"/>
    </xf>
    <xf numFmtId="0" fontId="0" fillId="37" borderId="15" xfId="0" applyFill="1" applyBorder="1" applyAlignment="1">
      <alignment horizontal="left"/>
    </xf>
    <xf numFmtId="0" fontId="0" fillId="34" borderId="21" xfId="0" applyFill="1" applyBorder="1"/>
    <xf numFmtId="0" fontId="0" fillId="39" borderId="15" xfId="0" applyFill="1" applyBorder="1" applyAlignment="1">
      <alignment wrapText="1"/>
    </xf>
    <xf numFmtId="0" fontId="0" fillId="39" borderId="15" xfId="0" applyFill="1" applyBorder="1"/>
    <xf numFmtId="0" fontId="0" fillId="40" borderId="15" xfId="0" applyFill="1" applyBorder="1" applyAlignment="1">
      <alignment wrapText="1"/>
    </xf>
    <xf numFmtId="0" fontId="0" fillId="40" borderId="15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6297E-B7DB-AD40-9DEC-3FBCAA8C5204}">
  <dimension ref="A1:AM132"/>
  <sheetViews>
    <sheetView tabSelected="1" topLeftCell="A65" zoomScale="75" zoomScaleNormal="76" workbookViewId="0">
      <selection activeCell="B84" sqref="B84:K84"/>
    </sheetView>
  </sheetViews>
  <sheetFormatPr baseColWidth="10" defaultRowHeight="16" x14ac:dyDescent="0.2"/>
  <cols>
    <col min="1" max="1" width="19.83203125" bestFit="1" customWidth="1"/>
    <col min="2" max="9" width="12.1640625" bestFit="1" customWidth="1"/>
    <col min="10" max="10" width="20.1640625" bestFit="1" customWidth="1"/>
    <col min="11" max="11" width="22" bestFit="1" customWidth="1"/>
    <col min="12" max="12" width="12.1640625" style="5" bestFit="1" customWidth="1"/>
    <col min="13" max="13" width="12.1640625" style="15" bestFit="1" customWidth="1"/>
    <col min="14" max="14" width="21.5" style="15" bestFit="1" customWidth="1"/>
    <col min="15" max="15" width="23.5" style="15" customWidth="1"/>
    <col min="16" max="16" width="43.33203125" style="15" customWidth="1"/>
    <col min="17" max="17" width="23.6640625" style="15" customWidth="1"/>
    <col min="18" max="18" width="42.33203125" style="15" customWidth="1"/>
    <col min="19" max="39" width="12.1640625" style="15" bestFit="1" customWidth="1"/>
    <col min="40" max="16384" width="10.83203125" style="15"/>
  </cols>
  <sheetData>
    <row r="1" spans="1:39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>
        <v>26607014</v>
      </c>
      <c r="H1">
        <v>19607016</v>
      </c>
      <c r="I1" t="s">
        <v>5</v>
      </c>
      <c r="J1" t="s">
        <v>6</v>
      </c>
      <c r="K1" t="s">
        <v>7</v>
      </c>
      <c r="L1" s="5">
        <v>64607015</v>
      </c>
      <c r="M1" s="15" t="s">
        <v>8</v>
      </c>
      <c r="N1" s="15" t="s">
        <v>9</v>
      </c>
      <c r="O1" s="15" t="s">
        <v>10</v>
      </c>
      <c r="P1" s="15">
        <v>13607008</v>
      </c>
      <c r="Q1" s="15" t="s">
        <v>11</v>
      </c>
      <c r="R1" s="15" t="s">
        <v>12</v>
      </c>
      <c r="S1" s="15" t="s">
        <v>13</v>
      </c>
      <c r="T1" s="15" t="s">
        <v>14</v>
      </c>
      <c r="U1" s="15">
        <v>13607012</v>
      </c>
      <c r="V1" s="15">
        <v>61607011</v>
      </c>
      <c r="W1" s="15" t="s">
        <v>15</v>
      </c>
      <c r="X1" s="15" t="s">
        <v>16</v>
      </c>
      <c r="Y1" s="15" t="s">
        <v>17</v>
      </c>
      <c r="Z1" s="15">
        <v>21607010</v>
      </c>
      <c r="AA1" s="15" t="s">
        <v>18</v>
      </c>
      <c r="AB1" s="15" t="s">
        <v>19</v>
      </c>
      <c r="AC1" s="15" t="s">
        <v>20</v>
      </c>
      <c r="AD1" s="15" t="s">
        <v>21</v>
      </c>
      <c r="AE1" s="15" t="s">
        <v>22</v>
      </c>
      <c r="AF1" s="15" t="s">
        <v>23</v>
      </c>
      <c r="AG1" s="15">
        <v>61607009</v>
      </c>
      <c r="AH1" s="15" t="s">
        <v>24</v>
      </c>
      <c r="AI1" s="15" t="s">
        <v>25</v>
      </c>
      <c r="AJ1" s="15">
        <v>62607013</v>
      </c>
      <c r="AK1" s="15" t="s">
        <v>26</v>
      </c>
      <c r="AL1" s="15" t="s">
        <v>27</v>
      </c>
      <c r="AM1" s="15" t="s">
        <v>28</v>
      </c>
    </row>
    <row r="2" spans="1:39" x14ac:dyDescent="0.2">
      <c r="A2">
        <v>140</v>
      </c>
      <c r="B2" s="1">
        <v>0.88076014261568902</v>
      </c>
      <c r="C2" s="4">
        <v>3.1316783004590802E-8</v>
      </c>
      <c r="D2" s="1">
        <v>0.329093644167259</v>
      </c>
      <c r="E2" s="2">
        <v>0.98979316229225001</v>
      </c>
      <c r="F2" s="1">
        <v>0.99999999999713096</v>
      </c>
      <c r="G2">
        <v>0.99909643771082801</v>
      </c>
      <c r="H2" s="1">
        <v>0.462111515619746</v>
      </c>
      <c r="I2" s="1">
        <v>0.31034776867591402</v>
      </c>
      <c r="J2" s="1">
        <v>0.932495809420405</v>
      </c>
      <c r="K2">
        <v>1.8354303481744501E-2</v>
      </c>
      <c r="L2" s="6">
        <v>0.12512622518890601</v>
      </c>
      <c r="M2" s="15">
        <v>0.99095377270031804</v>
      </c>
      <c r="N2" s="17">
        <v>0.399853558631176</v>
      </c>
      <c r="O2" s="17">
        <v>0.99999564821012099</v>
      </c>
      <c r="P2" s="15">
        <v>0.38370185738032198</v>
      </c>
      <c r="Q2" s="17">
        <v>0.99393542056602302</v>
      </c>
      <c r="R2" s="17">
        <v>0.34078735164296903</v>
      </c>
      <c r="S2" s="17">
        <v>0.64343501842030504</v>
      </c>
      <c r="T2" s="17">
        <v>0.17281361081256499</v>
      </c>
      <c r="U2" s="17">
        <v>0.33552563254867901</v>
      </c>
      <c r="V2" s="15">
        <v>0.95010482430738596</v>
      </c>
      <c r="W2" s="17">
        <v>0.44290211281537201</v>
      </c>
      <c r="X2" s="17">
        <v>0.98639676569745505</v>
      </c>
      <c r="Y2" s="15">
        <v>0.42706298991472702</v>
      </c>
      <c r="Z2" s="17">
        <v>0.36647379808825598</v>
      </c>
      <c r="AA2" s="17">
        <v>0.24174139298683001</v>
      </c>
      <c r="AB2" s="17">
        <v>0.57848988050210803</v>
      </c>
      <c r="AC2" s="15">
        <v>6.9336595563071002E-3</v>
      </c>
      <c r="AD2" s="17">
        <v>0.44500208293805399</v>
      </c>
      <c r="AE2" s="15">
        <v>8.9174230700413304E-2</v>
      </c>
      <c r="AF2" s="15">
        <v>1.1391804766675E-2</v>
      </c>
      <c r="AG2" s="17">
        <v>0.198390641287156</v>
      </c>
      <c r="AH2" s="17">
        <v>0.99999998829461001</v>
      </c>
      <c r="AI2" s="17">
        <v>0.323511214427678</v>
      </c>
      <c r="AJ2" s="17">
        <v>0.42548164002559302</v>
      </c>
      <c r="AK2" s="15">
        <v>0.28904976791759301</v>
      </c>
      <c r="AL2" s="17">
        <v>0.44614682995888999</v>
      </c>
      <c r="AM2" s="17">
        <v>0.71144174295335905</v>
      </c>
    </row>
    <row r="3" spans="1:39" x14ac:dyDescent="0.2">
      <c r="A3">
        <v>336</v>
      </c>
      <c r="B3" s="1">
        <v>0.52161225500504904</v>
      </c>
      <c r="C3">
        <v>1.5315277819975799E-2</v>
      </c>
      <c r="D3">
        <v>0.70508823579532398</v>
      </c>
      <c r="E3" s="1">
        <v>0.99035915714541201</v>
      </c>
      <c r="F3" s="1">
        <v>0.600751451175072</v>
      </c>
      <c r="G3" s="1">
        <v>0.98313056327915305</v>
      </c>
      <c r="H3" s="1">
        <v>0.46279353243787802</v>
      </c>
      <c r="I3" s="1">
        <v>0.69787717272693495</v>
      </c>
      <c r="J3" s="1">
        <v>0.43924489458200999</v>
      </c>
      <c r="K3">
        <v>8.6975442641903905E-2</v>
      </c>
      <c r="L3" s="6">
        <v>0.124971225887808</v>
      </c>
      <c r="M3" s="17">
        <v>0.29873369263530702</v>
      </c>
      <c r="N3" s="17">
        <v>0.41110563633420699</v>
      </c>
      <c r="O3" s="17">
        <v>0.99981221039149004</v>
      </c>
      <c r="P3" s="17">
        <v>0.99559721805827495</v>
      </c>
      <c r="Q3" s="17">
        <v>0.39781226148985299</v>
      </c>
      <c r="R3" s="17">
        <v>0.56732352633783101</v>
      </c>
      <c r="S3" s="17">
        <v>0.99341347639389299</v>
      </c>
      <c r="T3" s="17">
        <v>0.99849663192877802</v>
      </c>
      <c r="U3" s="15">
        <v>0.34518539635385898</v>
      </c>
      <c r="V3" s="17">
        <v>0.63886912220010805</v>
      </c>
      <c r="W3" s="17">
        <v>0.65638452796992197</v>
      </c>
      <c r="X3" s="17">
        <v>0.99947121172266795</v>
      </c>
      <c r="Y3" s="17">
        <v>0.44137838330635298</v>
      </c>
      <c r="Z3" s="17">
        <v>0.36715433013548299</v>
      </c>
      <c r="AA3" s="17">
        <v>0.547713535386255</v>
      </c>
      <c r="AB3" s="17">
        <v>0.382985071980533</v>
      </c>
      <c r="AC3" s="17">
        <v>0.99971654867982296</v>
      </c>
      <c r="AD3" s="15">
        <v>0.44284098283042</v>
      </c>
      <c r="AE3" s="17">
        <v>0.69816060377667899</v>
      </c>
      <c r="AF3" s="17">
        <v>0.99260079279837199</v>
      </c>
      <c r="AG3" s="17">
        <v>0.173330683047412</v>
      </c>
      <c r="AH3" s="17">
        <v>0.80798325437607899</v>
      </c>
      <c r="AI3" s="17">
        <v>0.53825109621691403</v>
      </c>
      <c r="AJ3" s="15">
        <v>0.42841185244716801</v>
      </c>
      <c r="AK3" s="17">
        <v>0.97703666832920799</v>
      </c>
      <c r="AL3" s="17">
        <v>0.48179796507822498</v>
      </c>
      <c r="AM3" s="17">
        <v>0.63554727382970699</v>
      </c>
    </row>
    <row r="4" spans="1:39" x14ac:dyDescent="0.2">
      <c r="A4">
        <v>343</v>
      </c>
      <c r="B4" s="1">
        <v>0.22615172781443399</v>
      </c>
      <c r="C4">
        <v>2.6915976168989698E-2</v>
      </c>
      <c r="D4">
        <v>0.98357889227782402</v>
      </c>
      <c r="E4">
        <v>0.99999689380226997</v>
      </c>
      <c r="F4" s="1">
        <v>0.61069158222772701</v>
      </c>
      <c r="G4">
        <v>3.3849892528593203E-2</v>
      </c>
      <c r="H4" s="1">
        <v>0.46463024932965402</v>
      </c>
      <c r="I4" s="1">
        <v>0.517479093900586</v>
      </c>
      <c r="J4" s="1">
        <v>0.434567380504843</v>
      </c>
      <c r="K4" s="1">
        <v>0.67606091641222699</v>
      </c>
      <c r="L4" s="6">
        <v>0.124842771607902</v>
      </c>
      <c r="M4" s="17">
        <v>0.29685450578960498</v>
      </c>
      <c r="N4" s="17">
        <v>0.99867436476335503</v>
      </c>
      <c r="O4" s="15">
        <v>0.80010059288576496</v>
      </c>
      <c r="P4" s="17">
        <v>0.376145759724416</v>
      </c>
      <c r="Q4" s="17">
        <v>0.39286735764437702</v>
      </c>
      <c r="R4" s="17">
        <v>0.12236567078796599</v>
      </c>
      <c r="S4" s="17">
        <v>0.72009321350586097</v>
      </c>
      <c r="T4" s="15">
        <v>6.7253692335200205E-2</v>
      </c>
      <c r="U4" s="17">
        <v>0.892520783784017</v>
      </c>
      <c r="V4" s="17">
        <v>0.25814804210397502</v>
      </c>
      <c r="W4" s="17">
        <v>0.48012511806111502</v>
      </c>
      <c r="X4" s="17">
        <v>0.99999938850613601</v>
      </c>
      <c r="Y4" s="17">
        <v>0.43715574895039599</v>
      </c>
      <c r="Z4" s="17">
        <v>0.989000606129389</v>
      </c>
      <c r="AA4" s="17">
        <v>0.99822210625010799</v>
      </c>
      <c r="AB4" s="15">
        <v>0.586695622608564</v>
      </c>
      <c r="AC4" s="15">
        <v>0.99999849030821897</v>
      </c>
      <c r="AD4" s="17">
        <v>0.46191546593544203</v>
      </c>
      <c r="AE4" s="17">
        <v>0.98027447204040496</v>
      </c>
      <c r="AF4" s="17">
        <v>0.91778607407034196</v>
      </c>
      <c r="AG4" s="15">
        <v>0.19369886412559201</v>
      </c>
      <c r="AH4" s="15">
        <v>0.99988214373863005</v>
      </c>
      <c r="AI4" s="17">
        <v>0.39740664374225898</v>
      </c>
      <c r="AJ4" s="17">
        <v>0.42572292054217797</v>
      </c>
      <c r="AK4" s="15">
        <v>0.27313017708780202</v>
      </c>
      <c r="AL4" s="15">
        <v>0.60708254407615203</v>
      </c>
      <c r="AM4" s="17">
        <v>0.32768892251188703</v>
      </c>
    </row>
    <row r="5" spans="1:39" x14ac:dyDescent="0.2">
      <c r="A5">
        <v>347</v>
      </c>
      <c r="B5" s="1">
        <v>0.66604611106721501</v>
      </c>
      <c r="C5" s="4">
        <v>7.1832693756448598E-35</v>
      </c>
      <c r="D5" s="1">
        <v>0.99539526376755205</v>
      </c>
      <c r="E5" s="1">
        <v>0.99974532073251199</v>
      </c>
      <c r="F5" s="1">
        <v>0.99999540912566398</v>
      </c>
      <c r="G5">
        <v>3.5007544951814899E-2</v>
      </c>
      <c r="H5" s="1">
        <v>0.46499549466279699</v>
      </c>
      <c r="I5" s="1">
        <v>0.34691924487930598</v>
      </c>
      <c r="J5" s="1">
        <v>0.44669959484216099</v>
      </c>
      <c r="K5" s="1">
        <v>0.21901872437459499</v>
      </c>
      <c r="L5" s="6">
        <v>0.114262759603956</v>
      </c>
      <c r="M5" s="17">
        <v>0.29827564780635302</v>
      </c>
      <c r="N5" s="17">
        <v>0.76481659122086199</v>
      </c>
      <c r="O5" s="15">
        <v>6.4439032494200396E-2</v>
      </c>
      <c r="P5" s="17">
        <v>0.375680836481049</v>
      </c>
      <c r="Q5" s="17">
        <v>0.39284915669895698</v>
      </c>
      <c r="R5" s="15">
        <v>4.2478482307777003E-2</v>
      </c>
      <c r="S5" s="15">
        <v>9.3331164833366898E-2</v>
      </c>
      <c r="T5" s="17">
        <v>0.74740100169977797</v>
      </c>
      <c r="U5" s="17">
        <v>0.99997018027495899</v>
      </c>
      <c r="V5" s="17">
        <v>0.26407197576327901</v>
      </c>
      <c r="W5" s="17">
        <v>0.61637498966290005</v>
      </c>
      <c r="X5" s="17">
        <v>0.999999575011425</v>
      </c>
      <c r="Y5" s="17">
        <v>0.42656568053996402</v>
      </c>
      <c r="Z5" s="17">
        <v>0.99512548766839204</v>
      </c>
      <c r="AA5" s="17">
        <v>0.99988584786054802</v>
      </c>
      <c r="AB5" s="15">
        <v>0.396787003921379</v>
      </c>
      <c r="AC5" s="15">
        <v>0.99996025477619599</v>
      </c>
      <c r="AD5" s="17">
        <v>0.98496657551549405</v>
      </c>
      <c r="AE5" s="17">
        <v>0.57240193069787704</v>
      </c>
      <c r="AF5" s="17">
        <v>0.27217129952218699</v>
      </c>
      <c r="AG5" s="17">
        <v>0.18347692359284101</v>
      </c>
      <c r="AH5" s="15">
        <v>0.92952152887361195</v>
      </c>
      <c r="AI5" s="15">
        <v>0.37031508432517402</v>
      </c>
      <c r="AJ5" s="15">
        <v>0.96406799222462003</v>
      </c>
      <c r="AK5" s="17">
        <v>0.98868684506910898</v>
      </c>
      <c r="AL5" s="17">
        <v>0.36654648688657498</v>
      </c>
      <c r="AM5" s="17">
        <v>0.35590383486187399</v>
      </c>
    </row>
    <row r="6" spans="1:39" x14ac:dyDescent="0.2">
      <c r="A6">
        <v>360</v>
      </c>
      <c r="B6" s="1">
        <v>0.99999730393222097</v>
      </c>
      <c r="C6">
        <v>5.2341155542352698E-2</v>
      </c>
      <c r="D6">
        <v>0.58308114543257805</v>
      </c>
      <c r="E6" s="1">
        <v>0.99986557963119005</v>
      </c>
      <c r="F6" s="1">
        <v>0.11705111516243601</v>
      </c>
      <c r="G6">
        <v>0.98099064173941397</v>
      </c>
      <c r="H6" s="1">
        <v>0.46527588248755802</v>
      </c>
      <c r="I6" s="1">
        <v>0.73956275483343303</v>
      </c>
      <c r="J6" s="1">
        <v>0.43797474134026498</v>
      </c>
      <c r="K6" s="1">
        <v>0.20768174595530201</v>
      </c>
      <c r="L6" s="6">
        <v>0.98559969896819999</v>
      </c>
      <c r="M6" s="17">
        <v>0.30161220928666499</v>
      </c>
      <c r="N6" s="17">
        <v>0.98924910363573804</v>
      </c>
      <c r="O6" s="17">
        <v>0.99958431187255403</v>
      </c>
      <c r="P6" s="15">
        <v>0.38822109580534497</v>
      </c>
      <c r="Q6" s="17">
        <v>0.37001942876549099</v>
      </c>
      <c r="R6" s="17">
        <v>0.148214761701117</v>
      </c>
      <c r="S6" s="15">
        <v>0.55137350280133601</v>
      </c>
      <c r="T6" s="15">
        <v>8.7220862008870206E-2</v>
      </c>
      <c r="U6" s="17">
        <v>0.34784087233650401</v>
      </c>
      <c r="V6" s="17">
        <v>0.27603380422219898</v>
      </c>
      <c r="W6" s="17">
        <v>0.46702150265199899</v>
      </c>
      <c r="X6" s="17">
        <v>0.30204723063317201</v>
      </c>
      <c r="Y6" s="17">
        <v>0.76054115517084697</v>
      </c>
      <c r="Z6" s="17">
        <v>0.35750117088848499</v>
      </c>
      <c r="AA6" s="17">
        <v>0.94468703516003205</v>
      </c>
      <c r="AB6" s="15">
        <v>0.411869565712293</v>
      </c>
      <c r="AC6" s="17">
        <v>0.96275934021899601</v>
      </c>
      <c r="AD6" s="17">
        <v>0.46313754328170098</v>
      </c>
      <c r="AE6" s="17">
        <v>0.42095747238993098</v>
      </c>
      <c r="AF6" s="17">
        <v>0.30804276719767398</v>
      </c>
      <c r="AG6" s="17">
        <v>0.18243801402149501</v>
      </c>
      <c r="AH6" s="15">
        <v>2.543588646486E-4</v>
      </c>
      <c r="AI6" s="17">
        <v>0.42699420132519</v>
      </c>
      <c r="AJ6" s="17">
        <v>0.42572292054217797</v>
      </c>
      <c r="AK6" s="17">
        <v>0.63119321989801902</v>
      </c>
      <c r="AL6" s="17">
        <v>0.99999256426337102</v>
      </c>
      <c r="AM6" s="17">
        <v>0.99690601461864203</v>
      </c>
    </row>
    <row r="7" spans="1:39" x14ac:dyDescent="0.2">
      <c r="A7">
        <v>407</v>
      </c>
      <c r="B7" s="1">
        <v>0.24055770639860799</v>
      </c>
      <c r="C7" s="1">
        <v>0.99947881406788097</v>
      </c>
      <c r="E7" s="1">
        <v>0.90822104219260502</v>
      </c>
      <c r="F7" s="1">
        <v>0.997031495772288</v>
      </c>
      <c r="G7">
        <v>0.99575536522229502</v>
      </c>
      <c r="H7" s="1">
        <v>0.46768665359365202</v>
      </c>
      <c r="I7" s="1">
        <v>0.15418231977381699</v>
      </c>
      <c r="J7" s="1">
        <v>0.43819316863346403</v>
      </c>
      <c r="K7" s="1">
        <v>0.19573895102174799</v>
      </c>
      <c r="L7" s="6">
        <v>0.10989906271725799</v>
      </c>
      <c r="M7" s="17">
        <v>0.290064444689908</v>
      </c>
      <c r="N7" s="17">
        <v>0.96384511532787898</v>
      </c>
      <c r="O7" s="17">
        <v>0.70724640203506906</v>
      </c>
      <c r="P7" s="17">
        <v>0.37453895145648702</v>
      </c>
      <c r="Q7" s="17">
        <v>0.99551884799361601</v>
      </c>
      <c r="R7" s="17">
        <v>0.30107559264582801</v>
      </c>
      <c r="S7" s="17">
        <v>0.79933639514166799</v>
      </c>
      <c r="T7" s="17">
        <v>0.16152494878493701</v>
      </c>
      <c r="U7" s="17">
        <v>0.33634513232333502</v>
      </c>
      <c r="V7" s="17">
        <v>0.98125044511010695</v>
      </c>
      <c r="W7" s="17">
        <v>0.65496854991056797</v>
      </c>
      <c r="X7" s="17">
        <v>0.23832483755415301</v>
      </c>
      <c r="Y7" s="17">
        <v>0.42836841296255301</v>
      </c>
      <c r="Z7" s="17">
        <v>0.34542061107529998</v>
      </c>
      <c r="AB7" s="17">
        <v>0.588462521135802</v>
      </c>
      <c r="AC7" s="17">
        <v>0.94285399692225302</v>
      </c>
      <c r="AD7" s="17">
        <v>0.86263055952565904</v>
      </c>
      <c r="AE7" s="17">
        <v>0.64790037166849401</v>
      </c>
      <c r="AF7" s="17">
        <v>0.55028604903074896</v>
      </c>
      <c r="AG7" s="17">
        <v>0.17446918865963801</v>
      </c>
      <c r="AH7" s="17">
        <v>0.94612570488490999</v>
      </c>
      <c r="AJ7" s="17">
        <v>0.41953557913647099</v>
      </c>
      <c r="AK7" s="15">
        <v>0.99428898809485899</v>
      </c>
      <c r="AL7" s="17">
        <v>0.57026279854158402</v>
      </c>
    </row>
    <row r="8" spans="1:39" x14ac:dyDescent="0.2">
      <c r="A8">
        <v>408</v>
      </c>
      <c r="B8" s="1">
        <v>0.20244439963847599</v>
      </c>
      <c r="C8" s="1">
        <v>0.99999973444749102</v>
      </c>
      <c r="E8" s="1">
        <v>0.99563710132184002</v>
      </c>
      <c r="F8" s="1">
        <v>0.98984811761482105</v>
      </c>
      <c r="G8" s="1">
        <v>0.58342075631414603</v>
      </c>
      <c r="H8" s="1">
        <v>0.46631272521890799</v>
      </c>
      <c r="I8" s="1">
        <v>0.99997906058105102</v>
      </c>
      <c r="J8" s="1">
        <v>0.43284376970733002</v>
      </c>
      <c r="K8" s="1">
        <v>0.42976568909775897</v>
      </c>
      <c r="L8" s="6">
        <v>0.125043131172624</v>
      </c>
      <c r="M8" s="17">
        <v>0.99959146733035398</v>
      </c>
      <c r="N8" s="17">
        <v>0.399853558631176</v>
      </c>
      <c r="O8" s="15">
        <v>0.99799055995589003</v>
      </c>
      <c r="P8" s="17">
        <v>0.98073555235648402</v>
      </c>
      <c r="Q8" s="17">
        <v>0.39011049581149998</v>
      </c>
      <c r="R8" s="17">
        <v>0.329742871006383</v>
      </c>
      <c r="S8" s="17">
        <v>0.99935009243937101</v>
      </c>
      <c r="T8" s="17">
        <v>0.25044725105794902</v>
      </c>
      <c r="U8" s="15">
        <v>0.34281527556762098</v>
      </c>
      <c r="V8" s="17">
        <v>0.26443005368063999</v>
      </c>
      <c r="W8" s="15">
        <v>0.43360170202829301</v>
      </c>
      <c r="X8" s="18">
        <v>5.4711776561793998E-12</v>
      </c>
      <c r="Y8" s="15">
        <v>0.42706298991472702</v>
      </c>
      <c r="Z8" s="17">
        <v>0.362065028888158</v>
      </c>
      <c r="AB8" s="15">
        <v>0.75112138547796403</v>
      </c>
      <c r="AC8" s="15">
        <v>0.982883242220848</v>
      </c>
      <c r="AD8" s="17">
        <v>0.44587363604144198</v>
      </c>
      <c r="AE8" s="17">
        <v>0.81408731236574305</v>
      </c>
      <c r="AF8" s="17">
        <v>0.71589275742006497</v>
      </c>
      <c r="AG8" s="17">
        <v>0.173331811052095</v>
      </c>
      <c r="AH8" s="17">
        <v>0.86089730856142799</v>
      </c>
      <c r="AJ8" s="17">
        <v>0.42673029596155299</v>
      </c>
      <c r="AK8" s="17">
        <v>0.970988485843164</v>
      </c>
      <c r="AL8" s="17">
        <v>0.20478966531273299</v>
      </c>
    </row>
    <row r="9" spans="1:39" x14ac:dyDescent="0.2">
      <c r="A9">
        <v>410</v>
      </c>
      <c r="B9">
        <v>5.6147906444906102E-2</v>
      </c>
      <c r="C9" s="1">
        <v>0.97399107917014505</v>
      </c>
      <c r="E9" s="1">
        <v>0.93448182198936802</v>
      </c>
      <c r="F9">
        <v>0.99986521339863199</v>
      </c>
      <c r="G9">
        <v>7.5594252099873997E-3</v>
      </c>
      <c r="H9" s="1">
        <v>0.46463024932965402</v>
      </c>
      <c r="I9" s="1">
        <v>0.98017334637714904</v>
      </c>
      <c r="J9" s="1">
        <v>0.43819316863346403</v>
      </c>
      <c r="K9" s="1">
        <v>0.67134948970847697</v>
      </c>
      <c r="L9" s="6">
        <v>0.117849365472184</v>
      </c>
      <c r="M9" s="17">
        <v>0.28912044731655301</v>
      </c>
      <c r="N9" s="15">
        <v>0.85746910627494299</v>
      </c>
      <c r="O9" s="15">
        <v>3.431381473031E-4</v>
      </c>
      <c r="P9" s="17">
        <v>0.97465787385304403</v>
      </c>
      <c r="Q9" s="15">
        <v>9.5514138062839996E-4</v>
      </c>
      <c r="R9" s="17">
        <v>0.33410951449920001</v>
      </c>
      <c r="S9" s="17">
        <v>0.95614396570957305</v>
      </c>
      <c r="U9" s="17">
        <v>0.35533634063608799</v>
      </c>
      <c r="V9" s="17">
        <v>0.26227020892714398</v>
      </c>
      <c r="W9" s="17">
        <v>0.79348833905165805</v>
      </c>
      <c r="X9" s="17">
        <v>0.50088175818434</v>
      </c>
      <c r="Y9" s="17">
        <v>0.420743842476479</v>
      </c>
      <c r="Z9" s="17">
        <v>0.40903683846838801</v>
      </c>
      <c r="AA9" s="17">
        <v>0.57584877460488304</v>
      </c>
      <c r="AB9" s="17">
        <v>0.34640247556871701</v>
      </c>
      <c r="AC9" s="17">
        <v>0.97607807687411796</v>
      </c>
      <c r="AD9" s="17">
        <v>0.447866060177671</v>
      </c>
      <c r="AE9" s="17">
        <v>0.56629719175743298</v>
      </c>
      <c r="AF9" s="17">
        <v>0.99151949834366004</v>
      </c>
      <c r="AG9" s="17">
        <v>0.163550382774974</v>
      </c>
      <c r="AH9" s="15">
        <v>5.72885336819016E-2</v>
      </c>
      <c r="AJ9" s="17">
        <v>0.43177502785107102</v>
      </c>
      <c r="AK9" s="17">
        <v>0.97662062168739205</v>
      </c>
      <c r="AL9" s="17">
        <v>0.99093652007166999</v>
      </c>
    </row>
    <row r="10" spans="1:39" x14ac:dyDescent="0.2">
      <c r="A10">
        <v>411</v>
      </c>
      <c r="B10" s="1">
        <v>0.214911017668796</v>
      </c>
      <c r="C10">
        <v>0.99999903757539399</v>
      </c>
      <c r="D10" s="1">
        <v>0.31972970858542499</v>
      </c>
      <c r="E10">
        <v>0.99949329355520999</v>
      </c>
      <c r="F10" s="1">
        <v>0.67364719586695598</v>
      </c>
      <c r="G10">
        <v>4.9221560582415697E-2</v>
      </c>
      <c r="I10" s="1">
        <v>0.99999999925749306</v>
      </c>
      <c r="J10" s="1">
        <v>0.43388342754777698</v>
      </c>
      <c r="K10">
        <v>6.6802511302025497E-2</v>
      </c>
      <c r="L10" s="13">
        <v>8.8120949277091697E-6</v>
      </c>
      <c r="M10" s="17">
        <v>0.29503847530532001</v>
      </c>
      <c r="N10" s="17">
        <v>0.96146123327029598</v>
      </c>
      <c r="O10" s="17">
        <v>0.507068990792227</v>
      </c>
      <c r="P10" s="17">
        <v>0.99285623730411798</v>
      </c>
      <c r="Q10" s="17">
        <v>0.983432726807137</v>
      </c>
      <c r="R10" s="15">
        <v>0.32056927930018098</v>
      </c>
      <c r="S10" s="17">
        <v>0.99999999968152697</v>
      </c>
      <c r="U10" s="17">
        <v>0.339195267708994</v>
      </c>
      <c r="V10" s="17">
        <v>0.270505754026999</v>
      </c>
      <c r="X10" s="17">
        <v>0.75468171762192804</v>
      </c>
      <c r="Y10" s="17">
        <v>0.42273981516182102</v>
      </c>
      <c r="Z10" s="17">
        <v>0.34542050532864799</v>
      </c>
      <c r="AA10" s="17">
        <v>0.24829338222677499</v>
      </c>
      <c r="AB10" s="17">
        <v>0.58450516750304005</v>
      </c>
      <c r="AC10" s="17">
        <v>0.78745895130134702</v>
      </c>
      <c r="AD10" s="17">
        <v>0.44826241310025</v>
      </c>
      <c r="AE10" s="17">
        <v>0.52804018547604004</v>
      </c>
      <c r="AF10" s="17">
        <v>0.99186505236518496</v>
      </c>
      <c r="AG10" s="17">
        <v>0.99335696446045696</v>
      </c>
      <c r="AI10" s="17">
        <v>0.29856645147303301</v>
      </c>
      <c r="AJ10" s="15">
        <v>0.42327309098063298</v>
      </c>
      <c r="AK10" s="15">
        <v>0.98140123218651598</v>
      </c>
      <c r="AL10" s="17">
        <v>0.96352270114579197</v>
      </c>
      <c r="AM10" s="17">
        <v>0.14592199566578301</v>
      </c>
    </row>
    <row r="11" spans="1:39" x14ac:dyDescent="0.2">
      <c r="A11">
        <v>412</v>
      </c>
      <c r="B11" s="1">
        <v>0.20244439963847599</v>
      </c>
      <c r="C11" s="1">
        <v>0.99999983896619504</v>
      </c>
      <c r="D11">
        <v>0.30320419406854698</v>
      </c>
      <c r="E11" s="1">
        <v>0.99984559692326802</v>
      </c>
      <c r="F11">
        <v>0.99011189268678002</v>
      </c>
      <c r="G11">
        <v>3.3579731906164402E-2</v>
      </c>
      <c r="H11" s="1">
        <v>0.46394913313397701</v>
      </c>
      <c r="I11" s="1">
        <v>0.99225133332242799</v>
      </c>
      <c r="J11" s="1">
        <v>0.43388342754777698</v>
      </c>
      <c r="K11" s="1">
        <v>0.19720393436526601</v>
      </c>
      <c r="L11" s="5">
        <v>0.112062640792954</v>
      </c>
      <c r="M11" s="17">
        <v>0.29781220648856799</v>
      </c>
      <c r="N11" s="17">
        <v>0.39043752405432802</v>
      </c>
      <c r="O11" s="17">
        <v>0.50424408814200095</v>
      </c>
      <c r="P11" s="15">
        <v>0.96720316063192202</v>
      </c>
      <c r="Q11" s="17">
        <v>0.39084491804010602</v>
      </c>
      <c r="R11" s="17">
        <v>0.882881856089474</v>
      </c>
      <c r="S11" s="17">
        <v>0.97497897283481205</v>
      </c>
      <c r="U11" s="17">
        <v>0.336527711297542</v>
      </c>
      <c r="V11" s="17">
        <v>0.26649230440265698</v>
      </c>
      <c r="X11" s="17">
        <v>0.269581277515545</v>
      </c>
      <c r="Y11" s="17">
        <v>0.43948515364482299</v>
      </c>
      <c r="Z11" s="17">
        <v>0.37985061291986899</v>
      </c>
      <c r="AA11" s="17">
        <v>0.25339051760606301</v>
      </c>
      <c r="AB11" s="15">
        <v>0.62793135136966705</v>
      </c>
      <c r="AC11" s="15">
        <v>2.09165214074323E-2</v>
      </c>
      <c r="AD11" s="17">
        <v>0.19564229614216899</v>
      </c>
      <c r="AE11" s="17">
        <v>0.96857356764200497</v>
      </c>
      <c r="AF11" s="17">
        <v>0.95952489426126197</v>
      </c>
      <c r="AG11" s="17">
        <v>0.188864276479357</v>
      </c>
      <c r="AI11" s="17">
        <v>0.93096505474432201</v>
      </c>
      <c r="AJ11" s="17">
        <v>0.42398998235235402</v>
      </c>
      <c r="AK11" s="17">
        <v>0.96693564620627703</v>
      </c>
      <c r="AL11" s="17">
        <v>0.44323700315807202</v>
      </c>
      <c r="AM11" s="17">
        <v>0.90238141582334697</v>
      </c>
    </row>
    <row r="12" spans="1:39" x14ac:dyDescent="0.2">
      <c r="A12">
        <v>461</v>
      </c>
      <c r="B12" s="1">
        <v>0.47999071623338102</v>
      </c>
      <c r="C12" s="3">
        <v>0.13564608603063</v>
      </c>
      <c r="D12" s="1">
        <v>0.98376307853654199</v>
      </c>
      <c r="E12">
        <v>1.9083282869396999E-2</v>
      </c>
      <c r="F12">
        <v>7.2152943257100001E-4</v>
      </c>
      <c r="G12">
        <v>5.5376652012453703E-2</v>
      </c>
      <c r="H12" s="1">
        <v>0.46463024932965402</v>
      </c>
      <c r="I12" s="1">
        <v>0.64551006999527905</v>
      </c>
      <c r="J12" s="1">
        <v>0.76808677349530496</v>
      </c>
      <c r="L12" s="6">
        <v>0.99999999396461903</v>
      </c>
      <c r="M12" s="17">
        <v>0.98483249411260798</v>
      </c>
      <c r="N12" s="17">
        <v>0.67846057438249496</v>
      </c>
      <c r="O12" s="15">
        <v>0.91144681238987002</v>
      </c>
      <c r="P12" s="17">
        <v>0.356623287111066</v>
      </c>
      <c r="Q12" s="17">
        <v>0.38063677830775799</v>
      </c>
      <c r="R12" s="17">
        <v>0.32980359099344098</v>
      </c>
      <c r="S12" s="17">
        <v>0.997866815275821</v>
      </c>
      <c r="T12" s="15">
        <v>0.14713099960607801</v>
      </c>
      <c r="U12" s="17">
        <v>0.36363419881127701</v>
      </c>
      <c r="V12" s="17">
        <v>0.27605991207442898</v>
      </c>
      <c r="X12" s="17">
        <v>0.72791341938774201</v>
      </c>
      <c r="Y12" s="17">
        <v>0.43807929909557902</v>
      </c>
      <c r="Z12" s="15">
        <v>0.98319075684374402</v>
      </c>
      <c r="AA12" s="17">
        <v>0.54697428250504199</v>
      </c>
      <c r="AB12" s="17">
        <v>0.23671887354009999</v>
      </c>
      <c r="AC12" s="17">
        <v>0.62326216197184403</v>
      </c>
      <c r="AD12" s="17">
        <v>0.44786569047364</v>
      </c>
      <c r="AE12" s="15">
        <v>9.9862223469413397E-2</v>
      </c>
      <c r="AF12" s="15">
        <v>0.94512700139642403</v>
      </c>
      <c r="AG12" s="17">
        <v>0.18936174457764399</v>
      </c>
      <c r="AH12" s="15">
        <v>8.3904400080324903E-2</v>
      </c>
      <c r="AI12" s="17">
        <v>0.110218681232832</v>
      </c>
      <c r="AJ12" s="17">
        <v>0.93621171229560496</v>
      </c>
      <c r="AK12" s="17">
        <v>0.561783949077024</v>
      </c>
      <c r="AL12" s="17">
        <v>0.999259557212552</v>
      </c>
      <c r="AM12" s="15">
        <v>0.99573598321693901</v>
      </c>
    </row>
    <row r="13" spans="1:39" x14ac:dyDescent="0.2">
      <c r="A13">
        <v>464</v>
      </c>
      <c r="B13" s="1">
        <v>0.97882572596155604</v>
      </c>
      <c r="C13" s="1">
        <v>0.49154192730247998</v>
      </c>
      <c r="D13" s="1">
        <v>0.55809026392633398</v>
      </c>
      <c r="E13" s="1">
        <v>0.56974540099632598</v>
      </c>
      <c r="F13">
        <v>0.92119814602480199</v>
      </c>
      <c r="G13" s="1">
        <v>0.99999999996170397</v>
      </c>
      <c r="H13" s="1">
        <v>0.46489018209181199</v>
      </c>
      <c r="I13" s="1">
        <v>0.42227347053705</v>
      </c>
      <c r="J13" s="1">
        <v>0.44898845665027098</v>
      </c>
      <c r="K13">
        <v>0.58023153721418896</v>
      </c>
      <c r="L13" s="6">
        <v>0.124797206406298</v>
      </c>
      <c r="M13" s="17">
        <v>0.30016151183613798</v>
      </c>
      <c r="N13" s="17">
        <v>0.97985941252669395</v>
      </c>
      <c r="O13" s="17">
        <v>0.99895247820899302</v>
      </c>
      <c r="P13" s="17">
        <v>0.93737342562737702</v>
      </c>
      <c r="Q13" s="17">
        <v>0.40255343080004102</v>
      </c>
      <c r="R13" s="17">
        <v>0.59136553251632895</v>
      </c>
      <c r="S13" s="17">
        <v>0.933281696379333</v>
      </c>
      <c r="T13" s="17">
        <v>0.14966039538145201</v>
      </c>
      <c r="U13" s="17">
        <v>0.35550419376157999</v>
      </c>
      <c r="V13" s="17">
        <v>0.77465467202284299</v>
      </c>
      <c r="W13" s="17">
        <v>0.46966200312444301</v>
      </c>
      <c r="X13" s="15">
        <v>6.07493263935645E-2</v>
      </c>
      <c r="Y13" s="17">
        <v>0.420743842476479</v>
      </c>
      <c r="Z13" s="17">
        <v>0.34542050532864799</v>
      </c>
      <c r="AB13" s="17">
        <v>0.987589618097379</v>
      </c>
      <c r="AC13" s="17">
        <v>0.83288080457210001</v>
      </c>
      <c r="AD13" s="15">
        <v>0.44826190368681101</v>
      </c>
      <c r="AE13" s="15">
        <v>0.55282369267741804</v>
      </c>
      <c r="AF13" s="17">
        <v>0.99995016153104699</v>
      </c>
      <c r="AG13" s="17">
        <v>0.17479851880897199</v>
      </c>
      <c r="AH13" s="17">
        <v>0.10304306406750501</v>
      </c>
      <c r="AJ13" s="17">
        <v>0.43177502785107102</v>
      </c>
      <c r="AK13" s="17">
        <v>0.26599881370745299</v>
      </c>
      <c r="AL13" s="15">
        <v>0.99999996563771398</v>
      </c>
      <c r="AM13" s="15">
        <v>0.99608073322147295</v>
      </c>
    </row>
    <row r="16" spans="1:39" ht="17" thickBot="1" x14ac:dyDescent="0.25"/>
    <row r="17" spans="1:17" ht="29" x14ac:dyDescent="0.35">
      <c r="A17" s="50" t="s">
        <v>62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2"/>
    </row>
    <row r="18" spans="1:17" x14ac:dyDescent="0.2">
      <c r="A18" s="53" t="s">
        <v>30</v>
      </c>
      <c r="B18" s="7" t="s">
        <v>29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54"/>
      <c r="N18" s="15" t="s">
        <v>94</v>
      </c>
    </row>
    <row r="19" spans="1:17" ht="34" x14ac:dyDescent="0.2">
      <c r="A19" s="55"/>
      <c r="B19" s="7" t="s">
        <v>3</v>
      </c>
      <c r="C19" s="7" t="s">
        <v>4</v>
      </c>
      <c r="D19" s="7">
        <v>26607014</v>
      </c>
      <c r="E19" s="7" t="s">
        <v>6</v>
      </c>
      <c r="F19" s="7" t="s">
        <v>8</v>
      </c>
      <c r="G19" s="7" t="s">
        <v>10</v>
      </c>
      <c r="H19" s="7" t="s">
        <v>11</v>
      </c>
      <c r="I19" s="7">
        <v>61607011</v>
      </c>
      <c r="J19" s="7" t="s">
        <v>16</v>
      </c>
      <c r="K19" s="7" t="s">
        <v>24</v>
      </c>
      <c r="L19" s="7"/>
      <c r="M19" s="54"/>
      <c r="N19" s="67" t="s">
        <v>101</v>
      </c>
    </row>
    <row r="20" spans="1:17" x14ac:dyDescent="0.2">
      <c r="A20" s="55" t="s">
        <v>33</v>
      </c>
      <c r="B20" s="8">
        <v>0.98979316229225001</v>
      </c>
      <c r="C20" s="9">
        <v>0.99999999999713096</v>
      </c>
      <c r="D20" s="8">
        <v>0.99909643771082801</v>
      </c>
      <c r="E20" s="9">
        <v>0.932495809420405</v>
      </c>
      <c r="F20" s="8">
        <v>0.99095377270031804</v>
      </c>
      <c r="G20" s="9">
        <v>0.99999564821012099</v>
      </c>
      <c r="H20" s="9">
        <v>0.99393542056602302</v>
      </c>
      <c r="I20" s="8">
        <v>0.95010482430738596</v>
      </c>
      <c r="J20" s="9">
        <v>0.98639676569745505</v>
      </c>
      <c r="K20" s="9">
        <v>0.99999998829461001</v>
      </c>
      <c r="L20" s="7"/>
      <c r="M20" s="54"/>
      <c r="N20" s="68" t="s">
        <v>100</v>
      </c>
    </row>
    <row r="21" spans="1:17" x14ac:dyDescent="0.2">
      <c r="A21" s="55" t="s">
        <v>31</v>
      </c>
      <c r="B21" s="7">
        <v>154</v>
      </c>
      <c r="C21" s="7">
        <v>137</v>
      </c>
      <c r="D21" s="7">
        <v>157</v>
      </c>
      <c r="E21" s="7">
        <v>136</v>
      </c>
      <c r="F21" s="7">
        <v>137</v>
      </c>
      <c r="G21" s="7">
        <v>142</v>
      </c>
      <c r="H21" s="7">
        <v>146</v>
      </c>
      <c r="I21" s="7">
        <v>145</v>
      </c>
      <c r="J21" s="7">
        <v>150</v>
      </c>
      <c r="K21" s="7">
        <v>144</v>
      </c>
      <c r="L21" s="7"/>
      <c r="M21" s="54"/>
    </row>
    <row r="22" spans="1:17" x14ac:dyDescent="0.2">
      <c r="A22" s="55" t="s">
        <v>34</v>
      </c>
      <c r="B22" s="7" t="s">
        <v>35</v>
      </c>
      <c r="C22" s="7" t="s">
        <v>36</v>
      </c>
      <c r="D22" s="7" t="s">
        <v>38</v>
      </c>
      <c r="E22" s="7" t="s">
        <v>38</v>
      </c>
      <c r="F22" s="7" t="s">
        <v>39</v>
      </c>
      <c r="G22" s="7" t="s">
        <v>40</v>
      </c>
      <c r="H22" s="7" t="s">
        <v>41</v>
      </c>
      <c r="I22" s="7" t="s">
        <v>42</v>
      </c>
      <c r="J22" s="7" t="s">
        <v>43</v>
      </c>
      <c r="K22" s="7" t="s">
        <v>44</v>
      </c>
      <c r="L22" s="7"/>
      <c r="M22" s="54"/>
    </row>
    <row r="23" spans="1:17" ht="17" thickBot="1" x14ac:dyDescent="0.25">
      <c r="A23" s="64" t="s">
        <v>32</v>
      </c>
      <c r="B23" s="65" t="s">
        <v>145</v>
      </c>
      <c r="C23" s="65" t="s">
        <v>37</v>
      </c>
      <c r="D23" s="65" t="s">
        <v>146</v>
      </c>
      <c r="E23" s="65" t="s">
        <v>53</v>
      </c>
      <c r="F23" s="65" t="s">
        <v>37</v>
      </c>
      <c r="G23" s="65" t="s">
        <v>37</v>
      </c>
      <c r="H23" s="65" t="s">
        <v>136</v>
      </c>
      <c r="I23" s="65" t="s">
        <v>37</v>
      </c>
      <c r="J23" s="65" t="s">
        <v>37</v>
      </c>
      <c r="K23" s="65" t="s">
        <v>37</v>
      </c>
      <c r="L23" s="65"/>
      <c r="M23" s="66"/>
    </row>
    <row r="28" spans="1:17" ht="17" thickBot="1" x14ac:dyDescent="0.25"/>
    <row r="29" spans="1:17" ht="29" x14ac:dyDescent="0.35">
      <c r="A29" s="50" t="s">
        <v>61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2"/>
    </row>
    <row r="30" spans="1:17" x14ac:dyDescent="0.2">
      <c r="A30" s="53" t="s">
        <v>45</v>
      </c>
      <c r="B30" s="46" t="s">
        <v>29</v>
      </c>
      <c r="C30" s="46"/>
      <c r="D30" s="46"/>
      <c r="E30" s="46"/>
      <c r="F30" s="46"/>
      <c r="G30" s="46"/>
      <c r="H30" s="46"/>
      <c r="I30" s="46"/>
      <c r="J30" s="46"/>
      <c r="K30" s="46"/>
      <c r="L30" s="7"/>
      <c r="M30" s="54"/>
      <c r="N30" s="15" t="s">
        <v>94</v>
      </c>
    </row>
    <row r="31" spans="1:17" ht="43" x14ac:dyDescent="0.2">
      <c r="A31" s="55"/>
      <c r="B31" s="46" t="s">
        <v>3</v>
      </c>
      <c r="C31" s="46">
        <v>26607014</v>
      </c>
      <c r="D31" s="46" t="s">
        <v>10</v>
      </c>
      <c r="E31" s="46">
        <v>13607008</v>
      </c>
      <c r="F31" s="46" t="s">
        <v>13</v>
      </c>
      <c r="G31" s="46" t="s">
        <v>14</v>
      </c>
      <c r="H31" s="46" t="s">
        <v>16</v>
      </c>
      <c r="I31" s="46" t="s">
        <v>20</v>
      </c>
      <c r="J31" s="46" t="s">
        <v>23</v>
      </c>
      <c r="K31" s="46" t="s">
        <v>26</v>
      </c>
      <c r="L31" s="7"/>
      <c r="M31" s="54"/>
      <c r="N31" s="47" t="s">
        <v>95</v>
      </c>
      <c r="O31" s="23" t="s">
        <v>96</v>
      </c>
      <c r="P31" s="22" t="s">
        <v>95</v>
      </c>
      <c r="Q31" s="23" t="s">
        <v>96</v>
      </c>
    </row>
    <row r="32" spans="1:17" x14ac:dyDescent="0.2">
      <c r="A32" s="56" t="s">
        <v>33</v>
      </c>
      <c r="B32" s="10">
        <v>0.99035915714541201</v>
      </c>
      <c r="C32" s="10">
        <v>0.98313056327915305</v>
      </c>
      <c r="D32" s="10">
        <v>0.99981221039149004</v>
      </c>
      <c r="E32" s="10">
        <v>0.99559721805827495</v>
      </c>
      <c r="F32" s="10">
        <v>0.99341347639389299</v>
      </c>
      <c r="G32" s="10">
        <v>0.99849663192877802</v>
      </c>
      <c r="H32" s="10">
        <v>0.99947121172266795</v>
      </c>
      <c r="I32" s="10">
        <v>0.99971654867982296</v>
      </c>
      <c r="J32" s="10">
        <v>0.99260079279837199</v>
      </c>
      <c r="K32" s="10">
        <v>0.97703666832920799</v>
      </c>
      <c r="L32" s="7"/>
      <c r="M32" s="54"/>
      <c r="N32" s="48" t="s">
        <v>90</v>
      </c>
      <c r="O32" s="25" t="s">
        <v>91</v>
      </c>
      <c r="P32" s="24" t="s">
        <v>92</v>
      </c>
      <c r="Q32" s="25" t="s">
        <v>93</v>
      </c>
    </row>
    <row r="33" spans="1:15" x14ac:dyDescent="0.2">
      <c r="A33" s="56" t="s">
        <v>31</v>
      </c>
      <c r="B33" s="7">
        <v>377</v>
      </c>
      <c r="C33" s="7">
        <v>353</v>
      </c>
      <c r="D33" s="7">
        <v>337</v>
      </c>
      <c r="E33" s="7">
        <v>340</v>
      </c>
      <c r="F33" s="7">
        <v>381</v>
      </c>
      <c r="G33" s="7">
        <v>335</v>
      </c>
      <c r="H33" s="7">
        <v>347</v>
      </c>
      <c r="I33" s="7">
        <v>342</v>
      </c>
      <c r="J33" s="7">
        <v>349</v>
      </c>
      <c r="K33" s="7">
        <v>404</v>
      </c>
      <c r="L33" s="7"/>
      <c r="M33" s="54"/>
    </row>
    <row r="34" spans="1:15" x14ac:dyDescent="0.2">
      <c r="A34" s="56" t="s">
        <v>34</v>
      </c>
      <c r="B34" s="7" t="s">
        <v>46</v>
      </c>
      <c r="C34" s="7" t="s">
        <v>47</v>
      </c>
      <c r="D34" s="7" t="s">
        <v>48</v>
      </c>
      <c r="E34" s="7" t="s">
        <v>49</v>
      </c>
      <c r="F34" s="7" t="s">
        <v>50</v>
      </c>
      <c r="G34" s="7" t="s">
        <v>51</v>
      </c>
      <c r="H34" s="7" t="s">
        <v>50</v>
      </c>
      <c r="I34" s="7" t="s">
        <v>52</v>
      </c>
      <c r="J34" s="7" t="s">
        <v>49</v>
      </c>
      <c r="K34" s="7" t="s">
        <v>49</v>
      </c>
      <c r="L34" s="7"/>
      <c r="M34" s="54"/>
    </row>
    <row r="35" spans="1:15" x14ac:dyDescent="0.2">
      <c r="A35" s="57" t="s">
        <v>32</v>
      </c>
      <c r="B35" s="11" t="s">
        <v>37</v>
      </c>
      <c r="C35" s="11" t="s">
        <v>37</v>
      </c>
      <c r="D35" s="11" t="s">
        <v>37</v>
      </c>
      <c r="E35" s="11" t="s">
        <v>37</v>
      </c>
      <c r="F35" s="11" t="s">
        <v>37</v>
      </c>
      <c r="G35" s="11" t="s">
        <v>37</v>
      </c>
      <c r="H35" s="11" t="s">
        <v>37</v>
      </c>
      <c r="I35" s="11" t="s">
        <v>147</v>
      </c>
      <c r="J35" s="11" t="s">
        <v>53</v>
      </c>
      <c r="K35" s="11" t="s">
        <v>37</v>
      </c>
      <c r="L35" s="11"/>
      <c r="M35" s="54"/>
    </row>
    <row r="36" spans="1:15" x14ac:dyDescent="0.2">
      <c r="A36" s="5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59"/>
    </row>
    <row r="37" spans="1:15" x14ac:dyDescent="0.2">
      <c r="A37" s="60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59"/>
    </row>
    <row r="38" spans="1:15" x14ac:dyDescent="0.2">
      <c r="A38" s="53" t="s">
        <v>54</v>
      </c>
      <c r="B38" s="46" t="s">
        <v>29</v>
      </c>
      <c r="C38" s="46"/>
      <c r="D38" s="46"/>
      <c r="E38" s="46"/>
      <c r="F38" s="46"/>
      <c r="G38" s="46"/>
      <c r="H38" s="46"/>
      <c r="I38" s="46"/>
      <c r="J38" s="46"/>
      <c r="K38" s="46"/>
      <c r="L38" s="7"/>
      <c r="M38" s="54"/>
      <c r="N38" s="15" t="s">
        <v>94</v>
      </c>
    </row>
    <row r="39" spans="1:15" ht="43" x14ac:dyDescent="0.2">
      <c r="A39" s="55"/>
      <c r="B39" s="46" t="s">
        <v>2</v>
      </c>
      <c r="C39" s="46" t="s">
        <v>3</v>
      </c>
      <c r="D39" s="46" t="s">
        <v>9</v>
      </c>
      <c r="E39" s="46" t="s">
        <v>16</v>
      </c>
      <c r="F39" s="46">
        <v>21607010</v>
      </c>
      <c r="G39" s="46" t="s">
        <v>18</v>
      </c>
      <c r="H39" s="46" t="s">
        <v>20</v>
      </c>
      <c r="I39" s="46" t="s">
        <v>22</v>
      </c>
      <c r="J39" s="46" t="s">
        <v>23</v>
      </c>
      <c r="K39" s="46" t="s">
        <v>24</v>
      </c>
      <c r="L39" s="7"/>
      <c r="M39" s="54"/>
      <c r="N39" s="47" t="s">
        <v>95</v>
      </c>
      <c r="O39" s="23" t="s">
        <v>96</v>
      </c>
    </row>
    <row r="40" spans="1:15" x14ac:dyDescent="0.2">
      <c r="A40" s="56" t="s">
        <v>33</v>
      </c>
      <c r="B40" s="7">
        <v>0.98357889227782402</v>
      </c>
      <c r="C40" s="7">
        <v>0.99999689380226997</v>
      </c>
      <c r="D40" s="10">
        <v>0.99867436476335503</v>
      </c>
      <c r="E40" s="10">
        <v>0.99999938850613601</v>
      </c>
      <c r="F40" s="10">
        <v>0.989000606129389</v>
      </c>
      <c r="G40" s="10">
        <v>0.99822210625010799</v>
      </c>
      <c r="H40" s="7">
        <v>0.99999849030821897</v>
      </c>
      <c r="I40" s="10">
        <v>0.98027447204040496</v>
      </c>
      <c r="J40" s="10">
        <v>0.91778607407034196</v>
      </c>
      <c r="K40" s="7">
        <v>0.99988214373863005</v>
      </c>
      <c r="L40" s="7"/>
      <c r="M40" s="54"/>
      <c r="N40" s="48" t="s">
        <v>97</v>
      </c>
      <c r="O40" s="25" t="s">
        <v>98</v>
      </c>
    </row>
    <row r="41" spans="1:15" x14ac:dyDescent="0.2">
      <c r="A41" s="56" t="s">
        <v>31</v>
      </c>
      <c r="B41" s="7">
        <v>347</v>
      </c>
      <c r="C41" s="7">
        <v>384</v>
      </c>
      <c r="D41" s="7">
        <v>350</v>
      </c>
      <c r="E41" s="7">
        <v>354</v>
      </c>
      <c r="F41" s="7">
        <v>341</v>
      </c>
      <c r="G41" s="7">
        <v>348</v>
      </c>
      <c r="H41" s="7">
        <v>349</v>
      </c>
      <c r="I41" s="7">
        <v>338</v>
      </c>
      <c r="J41" s="7">
        <v>356</v>
      </c>
      <c r="K41" s="7">
        <v>353</v>
      </c>
      <c r="L41" s="7"/>
      <c r="M41" s="54"/>
    </row>
    <row r="42" spans="1:15" x14ac:dyDescent="0.2">
      <c r="A42" s="56" t="s">
        <v>34</v>
      </c>
      <c r="B42" s="7" t="s">
        <v>55</v>
      </c>
      <c r="C42" s="7" t="s">
        <v>47</v>
      </c>
      <c r="D42" s="7" t="s">
        <v>56</v>
      </c>
      <c r="E42" s="7" t="s">
        <v>50</v>
      </c>
      <c r="F42" s="7" t="s">
        <v>56</v>
      </c>
      <c r="G42" s="7" t="s">
        <v>50</v>
      </c>
      <c r="H42" s="7" t="s">
        <v>52</v>
      </c>
      <c r="I42" s="7" t="s">
        <v>50</v>
      </c>
      <c r="J42" s="7" t="s">
        <v>49</v>
      </c>
      <c r="K42" s="7" t="s">
        <v>56</v>
      </c>
      <c r="L42" s="7"/>
      <c r="M42" s="54"/>
    </row>
    <row r="43" spans="1:15" x14ac:dyDescent="0.2">
      <c r="A43" s="57" t="s">
        <v>32</v>
      </c>
      <c r="B43" s="11" t="s">
        <v>37</v>
      </c>
      <c r="C43" s="11" t="s">
        <v>37</v>
      </c>
      <c r="D43" s="11" t="s">
        <v>57</v>
      </c>
      <c r="E43" s="11" t="s">
        <v>37</v>
      </c>
      <c r="F43" s="11" t="s">
        <v>53</v>
      </c>
      <c r="G43" s="11" t="s">
        <v>37</v>
      </c>
      <c r="H43" s="11" t="s">
        <v>37</v>
      </c>
      <c r="I43" s="11" t="s">
        <v>53</v>
      </c>
      <c r="J43" s="11" t="s">
        <v>53</v>
      </c>
      <c r="K43" s="11" t="s">
        <v>37</v>
      </c>
      <c r="L43" s="11"/>
      <c r="M43" s="54"/>
    </row>
    <row r="44" spans="1:15" x14ac:dyDescent="0.2">
      <c r="A44" s="58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59"/>
    </row>
    <row r="45" spans="1:15" x14ac:dyDescent="0.2">
      <c r="A45" s="61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59"/>
    </row>
    <row r="46" spans="1:15" x14ac:dyDescent="0.2">
      <c r="A46" s="62" t="s">
        <v>58</v>
      </c>
      <c r="B46" s="12" t="s">
        <v>29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54"/>
      <c r="N46" s="15" t="s">
        <v>94</v>
      </c>
    </row>
    <row r="47" spans="1:15" x14ac:dyDescent="0.2">
      <c r="A47" s="55"/>
      <c r="B47" s="7" t="s">
        <v>2</v>
      </c>
      <c r="C47" s="7" t="s">
        <v>3</v>
      </c>
      <c r="D47" s="7" t="s">
        <v>4</v>
      </c>
      <c r="E47" s="7">
        <v>13607012</v>
      </c>
      <c r="F47" s="7" t="s">
        <v>16</v>
      </c>
      <c r="G47" s="7">
        <v>21607010</v>
      </c>
      <c r="H47" s="7" t="s">
        <v>18</v>
      </c>
      <c r="I47" s="7" t="s">
        <v>20</v>
      </c>
      <c r="J47" s="7" t="s">
        <v>21</v>
      </c>
      <c r="K47" s="7" t="s">
        <v>24</v>
      </c>
      <c r="L47" s="7">
        <v>62607013</v>
      </c>
      <c r="M47" s="54" t="s">
        <v>26</v>
      </c>
      <c r="N47" s="49" t="s">
        <v>99</v>
      </c>
    </row>
    <row r="48" spans="1:15" x14ac:dyDescent="0.2">
      <c r="A48" s="56" t="s">
        <v>33</v>
      </c>
      <c r="B48" s="10">
        <v>0.99539526376755205</v>
      </c>
      <c r="C48" s="10">
        <v>0.99974532073251199</v>
      </c>
      <c r="D48" s="10">
        <v>0.99999540912566398</v>
      </c>
      <c r="E48" s="10">
        <v>0.99997018027495899</v>
      </c>
      <c r="F48" s="10">
        <v>0.999999575011425</v>
      </c>
      <c r="G48" s="10">
        <v>0.99512548766839204</v>
      </c>
      <c r="H48" s="10">
        <v>0.99988584786054802</v>
      </c>
      <c r="I48" s="7">
        <v>0.99996025477619599</v>
      </c>
      <c r="J48" s="10">
        <v>0.98496657551549405</v>
      </c>
      <c r="K48" s="7">
        <v>0.92952152887361195</v>
      </c>
      <c r="L48" s="7">
        <v>0.96406799222462003</v>
      </c>
      <c r="M48" s="63">
        <v>0.98868684506910898</v>
      </c>
    </row>
    <row r="49" spans="1:14" x14ac:dyDescent="0.2">
      <c r="A49" s="56" t="s">
        <v>31</v>
      </c>
      <c r="B49" s="7">
        <v>351</v>
      </c>
      <c r="C49" s="7">
        <v>388</v>
      </c>
      <c r="D49" s="7">
        <v>349</v>
      </c>
      <c r="E49" s="7">
        <v>342</v>
      </c>
      <c r="F49" s="7">
        <v>358</v>
      </c>
      <c r="G49" s="7">
        <v>345</v>
      </c>
      <c r="H49" s="7">
        <v>352</v>
      </c>
      <c r="I49" s="7">
        <v>353</v>
      </c>
      <c r="J49" s="7">
        <v>332</v>
      </c>
      <c r="K49" s="7">
        <v>357</v>
      </c>
      <c r="L49" s="7">
        <v>345</v>
      </c>
      <c r="M49" s="54">
        <v>415</v>
      </c>
    </row>
    <row r="50" spans="1:14" x14ac:dyDescent="0.2">
      <c r="A50" s="56" t="s">
        <v>34</v>
      </c>
      <c r="B50" s="7" t="s">
        <v>55</v>
      </c>
      <c r="C50" s="7" t="s">
        <v>47</v>
      </c>
      <c r="D50" s="7" t="s">
        <v>71</v>
      </c>
      <c r="E50" s="7" t="s">
        <v>73</v>
      </c>
      <c r="F50" s="7" t="s">
        <v>50</v>
      </c>
      <c r="G50" s="7" t="s">
        <v>56</v>
      </c>
      <c r="H50" s="7" t="s">
        <v>50</v>
      </c>
      <c r="I50" s="7" t="s">
        <v>52</v>
      </c>
      <c r="J50" s="7" t="s">
        <v>72</v>
      </c>
      <c r="K50" s="7" t="s">
        <v>56</v>
      </c>
      <c r="L50" s="7" t="s">
        <v>73</v>
      </c>
      <c r="M50" s="54" t="s">
        <v>49</v>
      </c>
    </row>
    <row r="51" spans="1:14" x14ac:dyDescent="0.2">
      <c r="A51" s="57" t="s">
        <v>32</v>
      </c>
      <c r="B51" s="11" t="s">
        <v>37</v>
      </c>
      <c r="C51" s="11" t="s">
        <v>37</v>
      </c>
      <c r="D51" s="11" t="s">
        <v>37</v>
      </c>
      <c r="E51" s="11" t="s">
        <v>37</v>
      </c>
      <c r="F51" s="11" t="s">
        <v>37</v>
      </c>
      <c r="G51" s="11" t="s">
        <v>53</v>
      </c>
      <c r="H51" s="11" t="s">
        <v>37</v>
      </c>
      <c r="I51" s="11" t="s">
        <v>37</v>
      </c>
      <c r="J51" s="11" t="s">
        <v>37</v>
      </c>
      <c r="K51" s="11" t="s">
        <v>37</v>
      </c>
      <c r="L51" s="11" t="s">
        <v>148</v>
      </c>
      <c r="M51" s="54" t="s">
        <v>37</v>
      </c>
    </row>
    <row r="52" spans="1:14" x14ac:dyDescent="0.2">
      <c r="A52" s="58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59"/>
    </row>
    <row r="53" spans="1:14" x14ac:dyDescent="0.2">
      <c r="A53" s="61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59"/>
    </row>
    <row r="54" spans="1:14" x14ac:dyDescent="0.2">
      <c r="A54" s="62" t="s">
        <v>59</v>
      </c>
      <c r="B54" s="12" t="s">
        <v>29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54"/>
      <c r="N54" s="15" t="s">
        <v>94</v>
      </c>
    </row>
    <row r="55" spans="1:14" x14ac:dyDescent="0.2">
      <c r="A55" s="55"/>
      <c r="B55" s="7" t="s">
        <v>0</v>
      </c>
      <c r="C55" s="7" t="s">
        <v>3</v>
      </c>
      <c r="D55" s="7">
        <v>26607014</v>
      </c>
      <c r="E55" s="7">
        <v>64607015</v>
      </c>
      <c r="F55" s="7" t="s">
        <v>9</v>
      </c>
      <c r="G55" s="7" t="s">
        <v>10</v>
      </c>
      <c r="H55" s="7" t="s">
        <v>18</v>
      </c>
      <c r="I55" s="7" t="s">
        <v>20</v>
      </c>
      <c r="J55" s="7" t="s">
        <v>27</v>
      </c>
      <c r="K55" s="7" t="s">
        <v>28</v>
      </c>
      <c r="L55" s="7"/>
      <c r="M55" s="54"/>
      <c r="N55" s="49" t="s">
        <v>99</v>
      </c>
    </row>
    <row r="56" spans="1:14" x14ac:dyDescent="0.2">
      <c r="A56" s="55" t="s">
        <v>33</v>
      </c>
      <c r="B56" s="10">
        <v>0.99999730393222097</v>
      </c>
      <c r="C56" s="10">
        <v>0.99986557963119005</v>
      </c>
      <c r="D56" s="7">
        <v>0.98099064173941397</v>
      </c>
      <c r="E56" s="10">
        <v>0.98559969896819999</v>
      </c>
      <c r="F56" s="10">
        <v>0.98924910363573804</v>
      </c>
      <c r="G56" s="10">
        <v>0.99958431187255403</v>
      </c>
      <c r="H56" s="10">
        <v>0.94468703516003205</v>
      </c>
      <c r="I56" s="10">
        <v>0.96275934021899601</v>
      </c>
      <c r="J56" s="10">
        <v>0.99999256426337102</v>
      </c>
      <c r="K56" s="10">
        <v>0.99690601461864203</v>
      </c>
      <c r="L56" s="7"/>
      <c r="M56" s="54"/>
    </row>
    <row r="57" spans="1:14" x14ac:dyDescent="0.2">
      <c r="A57" s="55" t="s">
        <v>31</v>
      </c>
      <c r="B57" s="7">
        <v>365</v>
      </c>
      <c r="C57" s="7">
        <v>401</v>
      </c>
      <c r="D57" s="7">
        <v>376</v>
      </c>
      <c r="E57" s="7">
        <v>376</v>
      </c>
      <c r="F57" s="7">
        <v>366</v>
      </c>
      <c r="G57" s="7">
        <v>360</v>
      </c>
      <c r="H57" s="7">
        <v>364</v>
      </c>
      <c r="I57" s="7">
        <v>366</v>
      </c>
      <c r="J57" s="7">
        <v>382</v>
      </c>
      <c r="K57" s="7">
        <v>355</v>
      </c>
      <c r="L57" s="7"/>
      <c r="M57" s="54"/>
    </row>
    <row r="58" spans="1:14" x14ac:dyDescent="0.2">
      <c r="A58" s="55" t="s">
        <v>34</v>
      </c>
      <c r="B58" s="7" t="s">
        <v>50</v>
      </c>
      <c r="C58" s="7" t="s">
        <v>47</v>
      </c>
      <c r="D58" s="7" t="s">
        <v>47</v>
      </c>
      <c r="E58" s="7" t="s">
        <v>73</v>
      </c>
      <c r="F58" s="7" t="s">
        <v>56</v>
      </c>
      <c r="G58" s="7" t="s">
        <v>48</v>
      </c>
      <c r="H58" s="7" t="s">
        <v>50</v>
      </c>
      <c r="I58" s="7" t="s">
        <v>52</v>
      </c>
      <c r="J58" s="7" t="s">
        <v>56</v>
      </c>
      <c r="K58" s="7" t="s">
        <v>74</v>
      </c>
      <c r="L58" s="7"/>
      <c r="M58" s="54"/>
    </row>
    <row r="59" spans="1:14" ht="17" thickBot="1" x14ac:dyDescent="0.25">
      <c r="A59" s="64" t="s">
        <v>32</v>
      </c>
      <c r="B59" s="65" t="s">
        <v>53</v>
      </c>
      <c r="C59" s="65" t="s">
        <v>37</v>
      </c>
      <c r="D59" s="65" t="s">
        <v>37</v>
      </c>
      <c r="E59" s="65" t="s">
        <v>89</v>
      </c>
      <c r="F59" s="65" t="s">
        <v>57</v>
      </c>
      <c r="G59" s="65" t="s">
        <v>37</v>
      </c>
      <c r="H59" s="65" t="s">
        <v>37</v>
      </c>
      <c r="I59" s="65" t="s">
        <v>37</v>
      </c>
      <c r="J59" s="65" t="s">
        <v>147</v>
      </c>
      <c r="K59" s="65" t="s">
        <v>37</v>
      </c>
      <c r="L59" s="65"/>
      <c r="M59" s="66"/>
    </row>
    <row r="65" spans="1:15" ht="17" thickBot="1" x14ac:dyDescent="0.25"/>
    <row r="66" spans="1:15" ht="29" x14ac:dyDescent="0.35">
      <c r="A66" s="50" t="s">
        <v>63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2"/>
    </row>
    <row r="67" spans="1:15" x14ac:dyDescent="0.2">
      <c r="A67" s="53" t="s">
        <v>60</v>
      </c>
      <c r="B67" s="7" t="s">
        <v>29</v>
      </c>
      <c r="C67" s="7"/>
      <c r="D67" s="7"/>
      <c r="E67" s="7"/>
      <c r="F67" s="7"/>
      <c r="G67" s="7"/>
      <c r="H67" s="7"/>
      <c r="I67" s="7"/>
      <c r="J67" s="7"/>
      <c r="K67" s="7"/>
      <c r="L67" s="7"/>
      <c r="M67" s="54"/>
      <c r="N67" s="15" t="s">
        <v>94</v>
      </c>
    </row>
    <row r="68" spans="1:15" ht="43" x14ac:dyDescent="0.2">
      <c r="A68" s="55"/>
      <c r="B68" s="7" t="s">
        <v>1</v>
      </c>
      <c r="C68" s="7" t="s">
        <v>3</v>
      </c>
      <c r="D68" s="7" t="s">
        <v>4</v>
      </c>
      <c r="E68" s="7">
        <v>26607014</v>
      </c>
      <c r="F68" s="7" t="s">
        <v>9</v>
      </c>
      <c r="G68" s="7" t="s">
        <v>11</v>
      </c>
      <c r="H68" s="7">
        <v>61607011</v>
      </c>
      <c r="I68" s="7" t="s">
        <v>20</v>
      </c>
      <c r="J68" s="7" t="s">
        <v>24</v>
      </c>
      <c r="K68" s="7" t="s">
        <v>26</v>
      </c>
      <c r="L68" s="7"/>
      <c r="M68" s="54"/>
      <c r="N68" s="47" t="s">
        <v>95</v>
      </c>
      <c r="O68" s="23" t="s">
        <v>96</v>
      </c>
    </row>
    <row r="69" spans="1:15" x14ac:dyDescent="0.2">
      <c r="A69" s="55" t="s">
        <v>33</v>
      </c>
      <c r="B69" s="10">
        <v>0.99947881406788097</v>
      </c>
      <c r="C69" s="10">
        <v>0.90822104219260502</v>
      </c>
      <c r="D69" s="10">
        <v>0.997031495772288</v>
      </c>
      <c r="E69" s="7">
        <v>0.99575536522229502</v>
      </c>
      <c r="F69" s="10">
        <v>0.96384511532787898</v>
      </c>
      <c r="G69" s="10">
        <v>0.99551884799361601</v>
      </c>
      <c r="H69" s="10">
        <v>0.98125044511010695</v>
      </c>
      <c r="I69" s="10">
        <v>0.94285399692225302</v>
      </c>
      <c r="J69" s="10">
        <v>0.94612570488490999</v>
      </c>
      <c r="K69" s="7">
        <v>0.99428898809485899</v>
      </c>
      <c r="L69" s="7"/>
      <c r="M69" s="54"/>
      <c r="N69" s="48" t="s">
        <v>102</v>
      </c>
      <c r="O69" s="25" t="s">
        <v>103</v>
      </c>
    </row>
    <row r="70" spans="1:15" x14ac:dyDescent="0.2">
      <c r="A70" s="55" t="s">
        <v>31</v>
      </c>
      <c r="B70" s="7">
        <v>430</v>
      </c>
      <c r="C70" s="7">
        <v>452</v>
      </c>
      <c r="D70" s="7">
        <v>408</v>
      </c>
      <c r="E70" s="7">
        <v>413</v>
      </c>
      <c r="F70" s="7">
        <v>409</v>
      </c>
      <c r="G70" s="7">
        <v>409</v>
      </c>
      <c r="H70" s="7">
        <v>408</v>
      </c>
      <c r="I70" s="7">
        <v>410</v>
      </c>
      <c r="J70" s="7">
        <v>438</v>
      </c>
      <c r="K70" s="7">
        <v>472</v>
      </c>
      <c r="L70" s="7"/>
      <c r="M70" s="54"/>
    </row>
    <row r="71" spans="1:15" x14ac:dyDescent="0.2">
      <c r="A71" s="55" t="s">
        <v>34</v>
      </c>
      <c r="B71" s="7" t="s">
        <v>75</v>
      </c>
      <c r="C71" s="19" t="s">
        <v>75</v>
      </c>
      <c r="D71" s="7" t="s">
        <v>50</v>
      </c>
      <c r="E71" s="7" t="s">
        <v>79</v>
      </c>
      <c r="F71" s="7" t="s">
        <v>56</v>
      </c>
      <c r="G71" s="7" t="s">
        <v>78</v>
      </c>
      <c r="H71" s="7" t="s">
        <v>80</v>
      </c>
      <c r="I71" s="7" t="s">
        <v>76</v>
      </c>
      <c r="J71" s="7" t="s">
        <v>74</v>
      </c>
      <c r="K71" s="7" t="s">
        <v>77</v>
      </c>
      <c r="L71" s="7"/>
      <c r="M71" s="54"/>
    </row>
    <row r="72" spans="1:15" x14ac:dyDescent="0.2">
      <c r="A72" s="71" t="s">
        <v>32</v>
      </c>
      <c r="B72" s="11" t="s">
        <v>37</v>
      </c>
      <c r="C72" s="11" t="s">
        <v>37</v>
      </c>
      <c r="D72" s="11" t="s">
        <v>37</v>
      </c>
      <c r="E72" s="11" t="s">
        <v>37</v>
      </c>
      <c r="F72" s="11" t="s">
        <v>136</v>
      </c>
      <c r="G72" s="11" t="s">
        <v>136</v>
      </c>
      <c r="H72" s="11" t="s">
        <v>37</v>
      </c>
      <c r="I72" s="11" t="s">
        <v>131</v>
      </c>
      <c r="J72" s="11" t="s">
        <v>132</v>
      </c>
      <c r="K72" s="11" t="s">
        <v>133</v>
      </c>
      <c r="L72" s="11"/>
      <c r="M72" s="54"/>
    </row>
    <row r="73" spans="1:15" x14ac:dyDescent="0.2">
      <c r="A73" s="58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59"/>
    </row>
    <row r="74" spans="1:15" x14ac:dyDescent="0.2">
      <c r="A74" s="61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59"/>
    </row>
    <row r="75" spans="1:15" x14ac:dyDescent="0.2">
      <c r="A75" s="62" t="s">
        <v>64</v>
      </c>
      <c r="B75" s="12" t="s">
        <v>29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54"/>
      <c r="N75" s="15" t="s">
        <v>94</v>
      </c>
    </row>
    <row r="76" spans="1:15" x14ac:dyDescent="0.2">
      <c r="A76" s="55"/>
      <c r="B76" s="7" t="s">
        <v>1</v>
      </c>
      <c r="C76" s="7" t="s">
        <v>3</v>
      </c>
      <c r="D76" s="7" t="s">
        <v>4</v>
      </c>
      <c r="E76" s="7" t="s">
        <v>5</v>
      </c>
      <c r="F76" s="7" t="s">
        <v>8</v>
      </c>
      <c r="G76" s="7" t="s">
        <v>10</v>
      </c>
      <c r="H76" s="7">
        <v>13607008</v>
      </c>
      <c r="I76" s="7" t="s">
        <v>13</v>
      </c>
      <c r="J76" s="7" t="s">
        <v>20</v>
      </c>
      <c r="K76" s="7" t="s">
        <v>26</v>
      </c>
      <c r="L76" s="7"/>
      <c r="M76" s="54"/>
      <c r="N76" s="49" t="s">
        <v>99</v>
      </c>
    </row>
    <row r="77" spans="1:15" x14ac:dyDescent="0.2">
      <c r="A77" s="55" t="s">
        <v>33</v>
      </c>
      <c r="B77" s="10">
        <v>0.99999973444749102</v>
      </c>
      <c r="C77" s="10">
        <v>0.99563710132184002</v>
      </c>
      <c r="D77" s="10">
        <v>0.98984811761482105</v>
      </c>
      <c r="E77" s="10">
        <v>0.99997906058105102</v>
      </c>
      <c r="F77" s="10">
        <v>0.99959146733035398</v>
      </c>
      <c r="G77" s="7">
        <v>0.99799055995589003</v>
      </c>
      <c r="H77" s="10">
        <v>0.98073555235648402</v>
      </c>
      <c r="I77" s="10">
        <v>0.99935009243937101</v>
      </c>
      <c r="J77" s="7">
        <v>0.982883242220848</v>
      </c>
      <c r="K77" s="10">
        <v>0.970988485843164</v>
      </c>
      <c r="L77" s="7"/>
      <c r="M77" s="54"/>
    </row>
    <row r="78" spans="1:15" x14ac:dyDescent="0.2">
      <c r="A78" s="55" t="s">
        <v>31</v>
      </c>
      <c r="B78" s="7">
        <v>431</v>
      </c>
      <c r="C78" s="7">
        <v>453</v>
      </c>
      <c r="D78" s="7">
        <v>409</v>
      </c>
      <c r="E78" s="7">
        <v>428</v>
      </c>
      <c r="F78" s="7">
        <v>409</v>
      </c>
      <c r="G78" s="7">
        <v>411</v>
      </c>
      <c r="H78" s="7">
        <v>413</v>
      </c>
      <c r="I78" s="7">
        <v>454</v>
      </c>
      <c r="J78" s="7">
        <v>413</v>
      </c>
      <c r="K78" s="7">
        <v>473</v>
      </c>
      <c r="L78" s="7"/>
      <c r="M78" s="54"/>
    </row>
    <row r="79" spans="1:15" x14ac:dyDescent="0.2">
      <c r="A79" s="55" t="s">
        <v>34</v>
      </c>
      <c r="B79" s="7" t="s">
        <v>75</v>
      </c>
      <c r="C79" s="7" t="s">
        <v>75</v>
      </c>
      <c r="D79" s="7" t="s">
        <v>50</v>
      </c>
      <c r="E79" s="7" t="s">
        <v>50</v>
      </c>
      <c r="F79" s="7" t="s">
        <v>81</v>
      </c>
      <c r="G79" s="7" t="s">
        <v>56</v>
      </c>
      <c r="H79" s="7" t="s">
        <v>83</v>
      </c>
      <c r="I79" s="7" t="s">
        <v>82</v>
      </c>
      <c r="J79" s="7" t="s">
        <v>76</v>
      </c>
      <c r="K79" s="7" t="s">
        <v>77</v>
      </c>
      <c r="L79" s="7"/>
      <c r="M79" s="54"/>
    </row>
    <row r="80" spans="1:15" x14ac:dyDescent="0.2">
      <c r="A80" s="71" t="s">
        <v>32</v>
      </c>
      <c r="B80" s="11" t="s">
        <v>37</v>
      </c>
      <c r="C80" s="11" t="s">
        <v>37</v>
      </c>
      <c r="D80" s="11" t="s">
        <v>37</v>
      </c>
      <c r="E80" s="11" t="s">
        <v>37</v>
      </c>
      <c r="F80" s="11" t="s">
        <v>53</v>
      </c>
      <c r="G80" s="11" t="s">
        <v>37</v>
      </c>
      <c r="H80" s="11" t="s">
        <v>134</v>
      </c>
      <c r="I80" s="11" t="s">
        <v>37</v>
      </c>
      <c r="J80" s="11" t="s">
        <v>131</v>
      </c>
      <c r="K80" s="11" t="s">
        <v>133</v>
      </c>
      <c r="L80" s="11"/>
      <c r="M80" s="54"/>
    </row>
    <row r="81" spans="1:14" x14ac:dyDescent="0.2">
      <c r="A81" s="58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59"/>
    </row>
    <row r="82" spans="1:14" x14ac:dyDescent="0.2">
      <c r="A82" s="61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59"/>
    </row>
    <row r="83" spans="1:14" x14ac:dyDescent="0.2">
      <c r="A83" s="62" t="s">
        <v>65</v>
      </c>
      <c r="B83" s="12" t="s">
        <v>29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54"/>
      <c r="N83" s="15" t="s">
        <v>94</v>
      </c>
    </row>
    <row r="84" spans="1:14" ht="43" x14ac:dyDescent="0.2">
      <c r="A84" s="55"/>
      <c r="B84" s="7" t="s">
        <v>1</v>
      </c>
      <c r="C84" s="7" t="s">
        <v>3</v>
      </c>
      <c r="D84" s="7" t="s">
        <v>4</v>
      </c>
      <c r="E84" s="7" t="s">
        <v>5</v>
      </c>
      <c r="F84" s="7">
        <v>13607008</v>
      </c>
      <c r="G84" s="7" t="s">
        <v>13</v>
      </c>
      <c r="H84" s="7" t="s">
        <v>20</v>
      </c>
      <c r="I84" s="7" t="s">
        <v>23</v>
      </c>
      <c r="J84" s="7" t="s">
        <v>26</v>
      </c>
      <c r="K84" s="7" t="s">
        <v>27</v>
      </c>
      <c r="L84" s="7"/>
      <c r="M84" s="54"/>
      <c r="N84" s="69" t="s">
        <v>96</v>
      </c>
    </row>
    <row r="85" spans="1:14" x14ac:dyDescent="0.2">
      <c r="A85" s="55" t="s">
        <v>33</v>
      </c>
      <c r="B85" s="10">
        <v>0.97399107917014505</v>
      </c>
      <c r="C85" s="10">
        <v>0.93448182198936802</v>
      </c>
      <c r="D85" s="7">
        <v>0.99986521339863199</v>
      </c>
      <c r="E85" s="10">
        <v>0.98017334637714904</v>
      </c>
      <c r="F85" s="10">
        <v>0.97465787385304403</v>
      </c>
      <c r="G85" s="10">
        <v>0.95614396570957305</v>
      </c>
      <c r="H85" s="10">
        <v>0.97607807687411796</v>
      </c>
      <c r="I85" s="10">
        <v>0.99151949834366004</v>
      </c>
      <c r="J85" s="10">
        <v>0.97662062168739205</v>
      </c>
      <c r="K85" s="10">
        <v>0.99093652007166999</v>
      </c>
      <c r="L85" s="7"/>
      <c r="M85" s="54"/>
      <c r="N85" s="70" t="s">
        <v>104</v>
      </c>
    </row>
    <row r="86" spans="1:14" x14ac:dyDescent="0.2">
      <c r="A86" s="55" t="s">
        <v>31</v>
      </c>
      <c r="B86" s="7">
        <v>433</v>
      </c>
      <c r="C86" s="7">
        <v>459</v>
      </c>
      <c r="D86" s="7">
        <v>411</v>
      </c>
      <c r="E86" s="7">
        <v>430</v>
      </c>
      <c r="F86" s="7">
        <v>415</v>
      </c>
      <c r="G86" s="7">
        <v>456</v>
      </c>
      <c r="H86" s="7">
        <v>415</v>
      </c>
      <c r="I86" s="7">
        <v>419</v>
      </c>
      <c r="J86" s="7">
        <v>482</v>
      </c>
      <c r="K86" s="7">
        <v>438</v>
      </c>
      <c r="L86" s="7"/>
      <c r="M86" s="54"/>
    </row>
    <row r="87" spans="1:14" x14ac:dyDescent="0.2">
      <c r="A87" s="55" t="s">
        <v>34</v>
      </c>
      <c r="B87" s="7" t="s">
        <v>75</v>
      </c>
      <c r="C87" s="19" t="s">
        <v>75</v>
      </c>
      <c r="D87" s="7" t="s">
        <v>50</v>
      </c>
      <c r="E87" s="19" t="s">
        <v>50</v>
      </c>
      <c r="F87" s="7" t="s">
        <v>83</v>
      </c>
      <c r="G87" s="7" t="s">
        <v>82</v>
      </c>
      <c r="H87" s="7" t="s">
        <v>76</v>
      </c>
      <c r="I87" s="7" t="s">
        <v>84</v>
      </c>
      <c r="J87" s="7" t="s">
        <v>77</v>
      </c>
      <c r="K87" s="7" t="s">
        <v>55</v>
      </c>
      <c r="L87" s="7"/>
      <c r="M87" s="54"/>
    </row>
    <row r="88" spans="1:14" x14ac:dyDescent="0.2">
      <c r="A88" s="71" t="s">
        <v>32</v>
      </c>
      <c r="B88" s="11" t="s">
        <v>37</v>
      </c>
      <c r="C88" s="11" t="s">
        <v>37</v>
      </c>
      <c r="D88" s="11" t="s">
        <v>37</v>
      </c>
      <c r="E88" s="11" t="s">
        <v>37</v>
      </c>
      <c r="F88" s="11" t="s">
        <v>134</v>
      </c>
      <c r="G88" s="11" t="s">
        <v>37</v>
      </c>
      <c r="H88" s="11" t="s">
        <v>131</v>
      </c>
      <c r="I88" s="11" t="s">
        <v>135</v>
      </c>
      <c r="J88" s="11" t="s">
        <v>133</v>
      </c>
      <c r="K88" s="11" t="s">
        <v>147</v>
      </c>
      <c r="L88" s="11"/>
      <c r="M88" s="54"/>
    </row>
    <row r="89" spans="1:14" x14ac:dyDescent="0.2">
      <c r="A89" s="58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59"/>
    </row>
    <row r="90" spans="1:14" x14ac:dyDescent="0.2">
      <c r="A90" s="61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59"/>
    </row>
    <row r="91" spans="1:14" x14ac:dyDescent="0.2">
      <c r="A91" s="62" t="s">
        <v>66</v>
      </c>
      <c r="B91" s="12" t="s">
        <v>29</v>
      </c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54"/>
      <c r="N91" s="15" t="s">
        <v>94</v>
      </c>
    </row>
    <row r="92" spans="1:14" x14ac:dyDescent="0.2">
      <c r="A92" s="55"/>
      <c r="B92" s="7" t="s">
        <v>1</v>
      </c>
      <c r="C92" s="7" t="s">
        <v>3</v>
      </c>
      <c r="D92" s="7" t="s">
        <v>5</v>
      </c>
      <c r="E92" s="7" t="s">
        <v>9</v>
      </c>
      <c r="F92" s="7">
        <v>13607008</v>
      </c>
      <c r="G92" s="7" t="s">
        <v>11</v>
      </c>
      <c r="H92" s="7" t="s">
        <v>13</v>
      </c>
      <c r="I92" s="7" t="s">
        <v>23</v>
      </c>
      <c r="J92" s="7">
        <v>61607009</v>
      </c>
      <c r="K92" s="7" t="s">
        <v>26</v>
      </c>
      <c r="L92" s="7" t="s">
        <v>27</v>
      </c>
      <c r="M92" s="54"/>
      <c r="N92" s="49" t="s">
        <v>99</v>
      </c>
    </row>
    <row r="93" spans="1:14" x14ac:dyDescent="0.2">
      <c r="A93" s="55" t="s">
        <v>33</v>
      </c>
      <c r="B93" s="7">
        <v>0.99999903757539399</v>
      </c>
      <c r="C93" s="7">
        <v>0.99949329355520999</v>
      </c>
      <c r="D93" s="10">
        <v>0.99999999925749306</v>
      </c>
      <c r="E93" s="10">
        <v>0.96146123327029598</v>
      </c>
      <c r="F93" s="10">
        <v>0.99285623730411798</v>
      </c>
      <c r="G93" s="10">
        <v>0.983432726807137</v>
      </c>
      <c r="H93" s="10">
        <v>0.99999999968152697</v>
      </c>
      <c r="I93" s="10">
        <v>0.99186505236518496</v>
      </c>
      <c r="J93" s="10">
        <v>0.99335696446045696</v>
      </c>
      <c r="K93" s="7">
        <v>0.98140123218651598</v>
      </c>
      <c r="L93" s="10">
        <v>0.96352270114579197</v>
      </c>
      <c r="M93" s="54"/>
    </row>
    <row r="94" spans="1:14" x14ac:dyDescent="0.2">
      <c r="A94" s="55" t="s">
        <v>31</v>
      </c>
      <c r="B94" s="7">
        <v>434</v>
      </c>
      <c r="C94" s="7">
        <v>460</v>
      </c>
      <c r="D94" s="7">
        <v>431</v>
      </c>
      <c r="E94" s="7">
        <v>413</v>
      </c>
      <c r="F94" s="7">
        <v>420</v>
      </c>
      <c r="G94" s="7">
        <v>413</v>
      </c>
      <c r="H94" s="7">
        <v>457</v>
      </c>
      <c r="I94" s="7">
        <v>422</v>
      </c>
      <c r="J94" s="7">
        <v>408</v>
      </c>
      <c r="K94" s="7">
        <v>483</v>
      </c>
      <c r="L94" s="7">
        <v>441</v>
      </c>
      <c r="M94" s="54"/>
    </row>
    <row r="95" spans="1:14" x14ac:dyDescent="0.2">
      <c r="A95" s="55" t="s">
        <v>34</v>
      </c>
      <c r="B95" s="7" t="s">
        <v>75</v>
      </c>
      <c r="C95" s="19" t="s">
        <v>75</v>
      </c>
      <c r="D95" s="19" t="s">
        <v>50</v>
      </c>
      <c r="E95" s="7" t="s">
        <v>56</v>
      </c>
      <c r="F95" s="7" t="s">
        <v>83</v>
      </c>
      <c r="G95" s="7" t="s">
        <v>78</v>
      </c>
      <c r="H95" s="7" t="s">
        <v>82</v>
      </c>
      <c r="I95" s="7" t="s">
        <v>84</v>
      </c>
      <c r="J95" s="7" t="s">
        <v>85</v>
      </c>
      <c r="K95" s="7" t="s">
        <v>77</v>
      </c>
      <c r="L95" s="7" t="s">
        <v>55</v>
      </c>
      <c r="M95" s="54"/>
    </row>
    <row r="96" spans="1:14" x14ac:dyDescent="0.2">
      <c r="A96" s="71" t="s">
        <v>32</v>
      </c>
      <c r="B96" s="11" t="s">
        <v>37</v>
      </c>
      <c r="C96" s="11" t="s">
        <v>37</v>
      </c>
      <c r="D96" s="11" t="s">
        <v>37</v>
      </c>
      <c r="E96" s="11" t="s">
        <v>130</v>
      </c>
      <c r="F96" s="11" t="s">
        <v>134</v>
      </c>
      <c r="G96" s="11" t="s">
        <v>136</v>
      </c>
      <c r="H96" s="11" t="s">
        <v>37</v>
      </c>
      <c r="I96" s="11" t="s">
        <v>135</v>
      </c>
      <c r="J96" s="11" t="s">
        <v>53</v>
      </c>
      <c r="K96" s="11" t="s">
        <v>133</v>
      </c>
      <c r="L96" s="11" t="s">
        <v>147</v>
      </c>
      <c r="M96" s="54"/>
    </row>
    <row r="97" spans="1:14" x14ac:dyDescent="0.2">
      <c r="A97" s="58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59"/>
    </row>
    <row r="98" spans="1:14" x14ac:dyDescent="0.2">
      <c r="A98" s="61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59"/>
    </row>
    <row r="99" spans="1:14" x14ac:dyDescent="0.2">
      <c r="A99" s="62" t="s">
        <v>67</v>
      </c>
      <c r="B99" s="12" t="s">
        <v>29</v>
      </c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54"/>
      <c r="N99" s="15" t="s">
        <v>94</v>
      </c>
    </row>
    <row r="100" spans="1:14" x14ac:dyDescent="0.2">
      <c r="A100" s="55"/>
      <c r="B100" s="7" t="s">
        <v>1</v>
      </c>
      <c r="C100" s="7" t="s">
        <v>3</v>
      </c>
      <c r="D100" s="7" t="s">
        <v>4</v>
      </c>
      <c r="E100" s="7" t="s">
        <v>5</v>
      </c>
      <c r="F100" s="7">
        <v>13607008</v>
      </c>
      <c r="G100" s="7" t="s">
        <v>13</v>
      </c>
      <c r="H100" s="7" t="s">
        <v>22</v>
      </c>
      <c r="I100" s="7" t="s">
        <v>23</v>
      </c>
      <c r="J100" s="7" t="s">
        <v>25</v>
      </c>
      <c r="K100" s="7" t="s">
        <v>26</v>
      </c>
      <c r="L100" s="7" t="s">
        <v>28</v>
      </c>
      <c r="M100" s="54"/>
      <c r="N100" s="49" t="s">
        <v>99</v>
      </c>
    </row>
    <row r="101" spans="1:14" x14ac:dyDescent="0.2">
      <c r="A101" s="55" t="s">
        <v>33</v>
      </c>
      <c r="B101" s="10">
        <v>0.99999983896619504</v>
      </c>
      <c r="C101" s="10">
        <v>0.99984559692326802</v>
      </c>
      <c r="D101" s="7">
        <v>0.99011189268678002</v>
      </c>
      <c r="E101" s="10">
        <v>0.99225133332242799</v>
      </c>
      <c r="F101" s="7">
        <v>0.96720316063192202</v>
      </c>
      <c r="G101" s="10">
        <v>0.97497897283481205</v>
      </c>
      <c r="H101" s="10">
        <v>0.96857356764200497</v>
      </c>
      <c r="I101" s="10">
        <v>0.95952489426126197</v>
      </c>
      <c r="J101" s="10">
        <v>0.93096505474432201</v>
      </c>
      <c r="K101" s="10">
        <v>0.96693564620627703</v>
      </c>
      <c r="L101" s="10">
        <v>0.90238141582334697</v>
      </c>
      <c r="M101" s="54"/>
    </row>
    <row r="102" spans="1:14" x14ac:dyDescent="0.2">
      <c r="A102" s="55" t="s">
        <v>31</v>
      </c>
      <c r="B102" s="7">
        <v>435</v>
      </c>
      <c r="C102" s="7">
        <v>461</v>
      </c>
      <c r="D102" s="7">
        <v>416</v>
      </c>
      <c r="E102" s="7">
        <v>432</v>
      </c>
      <c r="F102" s="7">
        <v>421</v>
      </c>
      <c r="G102" s="7">
        <v>458</v>
      </c>
      <c r="H102" s="7">
        <v>410</v>
      </c>
      <c r="I102" s="7">
        <v>423</v>
      </c>
      <c r="J102" s="7">
        <v>415</v>
      </c>
      <c r="K102" s="7">
        <v>484</v>
      </c>
      <c r="L102" s="7">
        <v>400</v>
      </c>
      <c r="M102" s="54"/>
    </row>
    <row r="103" spans="1:14" x14ac:dyDescent="0.2">
      <c r="A103" s="55" t="s">
        <v>34</v>
      </c>
      <c r="B103" s="7" t="s">
        <v>75</v>
      </c>
      <c r="C103" s="19" t="s">
        <v>75</v>
      </c>
      <c r="D103" s="7" t="s">
        <v>50</v>
      </c>
      <c r="E103" s="19" t="s">
        <v>50</v>
      </c>
      <c r="F103" s="7" t="s">
        <v>83</v>
      </c>
      <c r="G103" s="7" t="s">
        <v>82</v>
      </c>
      <c r="H103" s="7" t="s">
        <v>86</v>
      </c>
      <c r="I103" s="7" t="s">
        <v>84</v>
      </c>
      <c r="J103" s="7" t="s">
        <v>55</v>
      </c>
      <c r="K103" s="7" t="s">
        <v>77</v>
      </c>
      <c r="L103" s="7" t="s">
        <v>87</v>
      </c>
      <c r="M103" s="54"/>
    </row>
    <row r="104" spans="1:14" ht="17" thickBot="1" x14ac:dyDescent="0.25">
      <c r="A104" s="64" t="s">
        <v>32</v>
      </c>
      <c r="B104" s="65" t="s">
        <v>37</v>
      </c>
      <c r="C104" s="65" t="s">
        <v>37</v>
      </c>
      <c r="D104" s="65" t="s">
        <v>37</v>
      </c>
      <c r="E104" s="65" t="s">
        <v>37</v>
      </c>
      <c r="F104" s="65" t="s">
        <v>134</v>
      </c>
      <c r="G104" s="65" t="s">
        <v>37</v>
      </c>
      <c r="H104" s="65" t="s">
        <v>53</v>
      </c>
      <c r="I104" s="65" t="s">
        <v>135</v>
      </c>
      <c r="J104" s="65" t="s">
        <v>53</v>
      </c>
      <c r="K104" s="65" t="s">
        <v>133</v>
      </c>
      <c r="L104" s="65" t="s">
        <v>37</v>
      </c>
      <c r="M104" s="66"/>
    </row>
    <row r="111" spans="1:14" ht="17" thickBot="1" x14ac:dyDescent="0.25"/>
    <row r="112" spans="1:14" ht="29" x14ac:dyDescent="0.35">
      <c r="A112" s="50" t="s">
        <v>70</v>
      </c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2"/>
    </row>
    <row r="113" spans="1:26" x14ac:dyDescent="0.2">
      <c r="A113" s="53" t="s">
        <v>68</v>
      </c>
      <c r="B113" s="7" t="s">
        <v>29</v>
      </c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54"/>
      <c r="N113" s="15" t="s">
        <v>94</v>
      </c>
    </row>
    <row r="114" spans="1:26" ht="68" customHeight="1" x14ac:dyDescent="0.2">
      <c r="A114" s="55"/>
      <c r="B114" s="7" t="s">
        <v>2</v>
      </c>
      <c r="C114" s="7">
        <v>64607015</v>
      </c>
      <c r="D114" s="7" t="s">
        <v>8</v>
      </c>
      <c r="E114" s="7" t="s">
        <v>10</v>
      </c>
      <c r="F114" s="7" t="s">
        <v>13</v>
      </c>
      <c r="G114" s="7">
        <v>21607010</v>
      </c>
      <c r="H114" s="7" t="s">
        <v>23</v>
      </c>
      <c r="I114" s="7">
        <v>62607013</v>
      </c>
      <c r="J114" s="7" t="s">
        <v>27</v>
      </c>
      <c r="K114" s="7" t="s">
        <v>28</v>
      </c>
      <c r="L114" s="7"/>
      <c r="M114" s="54"/>
      <c r="N114" s="72" t="s">
        <v>118</v>
      </c>
      <c r="O114" s="26" t="s">
        <v>119</v>
      </c>
      <c r="P114" s="27" t="s">
        <v>120</v>
      </c>
      <c r="Q114" s="28" t="s">
        <v>121</v>
      </c>
      <c r="R114" s="29" t="s">
        <v>122</v>
      </c>
      <c r="S114" s="30" t="s">
        <v>123</v>
      </c>
      <c r="T114" s="31" t="s">
        <v>124</v>
      </c>
      <c r="U114" s="20" t="s">
        <v>101</v>
      </c>
      <c r="V114" s="32" t="s">
        <v>125</v>
      </c>
      <c r="W114" s="33" t="s">
        <v>126</v>
      </c>
      <c r="X114" s="34" t="s">
        <v>127</v>
      </c>
      <c r="Y114" s="35" t="s">
        <v>128</v>
      </c>
      <c r="Z114" s="36" t="s">
        <v>129</v>
      </c>
    </row>
    <row r="115" spans="1:26" ht="17" x14ac:dyDescent="0.2">
      <c r="A115" s="55" t="s">
        <v>33</v>
      </c>
      <c r="B115" s="10">
        <v>0.98376307853654199</v>
      </c>
      <c r="C115" s="10">
        <v>0.99999999396461903</v>
      </c>
      <c r="D115" s="10">
        <v>0.98483249411260798</v>
      </c>
      <c r="E115" s="7">
        <v>0.91144681238987002</v>
      </c>
      <c r="F115" s="10">
        <v>0.997866815275821</v>
      </c>
      <c r="G115" s="7">
        <v>0.98319075684374402</v>
      </c>
      <c r="H115" s="7">
        <v>0.94512700139642403</v>
      </c>
      <c r="I115" s="10">
        <v>0.93621171229560496</v>
      </c>
      <c r="J115" s="10">
        <v>0.999259557212552</v>
      </c>
      <c r="K115" s="7">
        <v>0.99573598321693901</v>
      </c>
      <c r="L115" s="7"/>
      <c r="M115" s="54"/>
      <c r="N115" s="73" t="s">
        <v>105</v>
      </c>
      <c r="O115" s="37" t="s">
        <v>106</v>
      </c>
      <c r="P115" s="38" t="s">
        <v>107</v>
      </c>
      <c r="Q115" s="28" t="s">
        <v>108</v>
      </c>
      <c r="R115" s="39" t="s">
        <v>109</v>
      </c>
      <c r="S115" s="40" t="s">
        <v>110</v>
      </c>
      <c r="T115" s="41" t="s">
        <v>111</v>
      </c>
      <c r="U115" s="21" t="s">
        <v>112</v>
      </c>
      <c r="V115" s="42" t="s">
        <v>113</v>
      </c>
      <c r="W115" s="43" t="s">
        <v>114</v>
      </c>
      <c r="X115" s="44" t="s">
        <v>115</v>
      </c>
      <c r="Y115" s="45" t="s">
        <v>116</v>
      </c>
      <c r="Z115" s="7" t="s">
        <v>117</v>
      </c>
    </row>
    <row r="116" spans="1:26" x14ac:dyDescent="0.2">
      <c r="A116" s="55" t="s">
        <v>31</v>
      </c>
      <c r="B116" s="7">
        <v>472</v>
      </c>
      <c r="C116" s="7">
        <v>479</v>
      </c>
      <c r="D116" s="7">
        <v>465</v>
      </c>
      <c r="E116" s="7">
        <v>470</v>
      </c>
      <c r="F116" s="7">
        <v>509</v>
      </c>
      <c r="G116" s="7">
        <v>452</v>
      </c>
      <c r="H116" s="7">
        <v>474</v>
      </c>
      <c r="I116" s="7">
        <v>462</v>
      </c>
      <c r="J116" s="7">
        <v>492</v>
      </c>
      <c r="K116" s="7">
        <v>449</v>
      </c>
      <c r="L116" s="7"/>
      <c r="M116" s="54"/>
    </row>
    <row r="117" spans="1:26" x14ac:dyDescent="0.2">
      <c r="A117" s="55" t="s">
        <v>34</v>
      </c>
      <c r="B117" s="7" t="s">
        <v>56</v>
      </c>
      <c r="C117" s="7" t="s">
        <v>137</v>
      </c>
      <c r="D117" s="7" t="s">
        <v>138</v>
      </c>
      <c r="E117" s="7" t="s">
        <v>50</v>
      </c>
      <c r="F117" s="7" t="s">
        <v>139</v>
      </c>
      <c r="G117" s="7" t="s">
        <v>56</v>
      </c>
      <c r="H117" s="7" t="s">
        <v>138</v>
      </c>
      <c r="I117" s="7" t="s">
        <v>50</v>
      </c>
      <c r="J117" s="7" t="s">
        <v>56</v>
      </c>
      <c r="K117" s="7" t="s">
        <v>56</v>
      </c>
      <c r="L117" s="7"/>
      <c r="M117" s="54"/>
    </row>
    <row r="118" spans="1:26" x14ac:dyDescent="0.2">
      <c r="A118" s="71" t="s">
        <v>32</v>
      </c>
      <c r="B118" s="11" t="s">
        <v>37</v>
      </c>
      <c r="C118" s="11" t="s">
        <v>140</v>
      </c>
      <c r="D118" s="11" t="s">
        <v>88</v>
      </c>
      <c r="E118" s="11" t="s">
        <v>37</v>
      </c>
      <c r="F118" s="11" t="s">
        <v>37</v>
      </c>
      <c r="G118" s="11" t="s">
        <v>53</v>
      </c>
      <c r="H118" s="11" t="s">
        <v>136</v>
      </c>
      <c r="I118" s="11" t="s">
        <v>53</v>
      </c>
      <c r="J118" s="11" t="s">
        <v>141</v>
      </c>
      <c r="K118" s="11" t="s">
        <v>37</v>
      </c>
      <c r="L118" s="11"/>
      <c r="M118" s="54"/>
    </row>
    <row r="119" spans="1:26" x14ac:dyDescent="0.2">
      <c r="A119" s="58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59"/>
    </row>
    <row r="120" spans="1:26" x14ac:dyDescent="0.2">
      <c r="A120" s="61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59"/>
    </row>
    <row r="121" spans="1:26" x14ac:dyDescent="0.2">
      <c r="A121" s="62" t="s">
        <v>69</v>
      </c>
      <c r="B121" s="12" t="s">
        <v>29</v>
      </c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54"/>
      <c r="N121" s="15" t="s">
        <v>94</v>
      </c>
    </row>
    <row r="122" spans="1:26" ht="34" x14ac:dyDescent="0.2">
      <c r="A122" s="55"/>
      <c r="B122" s="7" t="s">
        <v>0</v>
      </c>
      <c r="C122" s="7" t="s">
        <v>4</v>
      </c>
      <c r="D122" s="7">
        <v>26607014</v>
      </c>
      <c r="E122" s="7" t="s">
        <v>9</v>
      </c>
      <c r="F122" s="7" t="s">
        <v>10</v>
      </c>
      <c r="G122" s="7">
        <v>13607008</v>
      </c>
      <c r="H122" s="7" t="s">
        <v>13</v>
      </c>
      <c r="I122" s="7" t="s">
        <v>19</v>
      </c>
      <c r="J122" s="7" t="s">
        <v>23</v>
      </c>
      <c r="K122" s="7" t="s">
        <v>27</v>
      </c>
      <c r="L122" s="7" t="s">
        <v>28</v>
      </c>
      <c r="M122" s="54"/>
      <c r="N122" s="74" t="s">
        <v>119</v>
      </c>
      <c r="O122" s="20" t="s">
        <v>101</v>
      </c>
    </row>
    <row r="123" spans="1:26" x14ac:dyDescent="0.2">
      <c r="A123" s="55" t="s">
        <v>33</v>
      </c>
      <c r="B123" s="10">
        <v>0.97882572596155604</v>
      </c>
      <c r="C123" s="7">
        <v>0.92119814602480199</v>
      </c>
      <c r="D123" s="10">
        <v>0.99999999996170397</v>
      </c>
      <c r="E123" s="10">
        <v>0.97985941252669395</v>
      </c>
      <c r="F123" s="10">
        <v>0.99895247820899302</v>
      </c>
      <c r="G123" s="10">
        <v>0.93737342562737702</v>
      </c>
      <c r="H123" s="10">
        <v>0.933281696379333</v>
      </c>
      <c r="I123" s="10">
        <v>0.987589618097379</v>
      </c>
      <c r="J123" s="10">
        <v>0.99995016153104699</v>
      </c>
      <c r="K123" s="7">
        <v>0.99999996563771398</v>
      </c>
      <c r="L123" s="7">
        <v>0.99608073322147295</v>
      </c>
      <c r="M123" s="54"/>
      <c r="N123" s="75" t="s">
        <v>106</v>
      </c>
      <c r="O123" s="21" t="s">
        <v>112</v>
      </c>
    </row>
    <row r="124" spans="1:26" x14ac:dyDescent="0.2">
      <c r="A124" s="55" t="s">
        <v>31</v>
      </c>
      <c r="B124" s="7">
        <v>476</v>
      </c>
      <c r="C124" s="7">
        <v>467</v>
      </c>
      <c r="D124" s="7">
        <v>477</v>
      </c>
      <c r="E124" s="7">
        <v>465</v>
      </c>
      <c r="F124" s="7">
        <v>474</v>
      </c>
      <c r="G124" s="7">
        <v>476</v>
      </c>
      <c r="H124" s="7">
        <v>516</v>
      </c>
      <c r="I124" s="7">
        <v>454</v>
      </c>
      <c r="J124" s="7">
        <v>477</v>
      </c>
      <c r="K124" s="7">
        <v>495</v>
      </c>
      <c r="L124" s="7">
        <v>452</v>
      </c>
      <c r="M124" s="54"/>
    </row>
    <row r="125" spans="1:26" x14ac:dyDescent="0.2">
      <c r="A125" s="55" t="s">
        <v>34</v>
      </c>
      <c r="B125" s="7" t="s">
        <v>56</v>
      </c>
      <c r="C125" s="7" t="s">
        <v>55</v>
      </c>
      <c r="D125" s="7" t="s">
        <v>55</v>
      </c>
      <c r="E125" s="7" t="s">
        <v>139</v>
      </c>
      <c r="F125" s="7" t="s">
        <v>144</v>
      </c>
      <c r="G125" s="7" t="s">
        <v>143</v>
      </c>
      <c r="H125" s="7" t="s">
        <v>139</v>
      </c>
      <c r="I125" s="7" t="s">
        <v>56</v>
      </c>
      <c r="J125" s="7" t="s">
        <v>138</v>
      </c>
      <c r="K125" s="7" t="s">
        <v>56</v>
      </c>
      <c r="L125" s="7" t="s">
        <v>56</v>
      </c>
      <c r="M125" s="54"/>
    </row>
    <row r="126" spans="1:26" ht="17" thickBot="1" x14ac:dyDescent="0.25">
      <c r="A126" s="64" t="s">
        <v>32</v>
      </c>
      <c r="B126" s="65" t="s">
        <v>142</v>
      </c>
      <c r="C126" s="65" t="s">
        <v>37</v>
      </c>
      <c r="D126" s="65" t="s">
        <v>37</v>
      </c>
      <c r="E126" s="65" t="s">
        <v>136</v>
      </c>
      <c r="F126" s="65" t="s">
        <v>37</v>
      </c>
      <c r="G126" s="65" t="s">
        <v>134</v>
      </c>
      <c r="H126" s="65" t="s">
        <v>37</v>
      </c>
      <c r="I126" s="65" t="s">
        <v>53</v>
      </c>
      <c r="J126" s="65" t="s">
        <v>136</v>
      </c>
      <c r="K126" s="65" t="s">
        <v>141</v>
      </c>
      <c r="L126" s="65" t="s">
        <v>37</v>
      </c>
      <c r="M126" s="66"/>
    </row>
    <row r="128" spans="1:26" x14ac:dyDescent="0.2">
      <c r="C128" s="5"/>
      <c r="D128" s="15"/>
      <c r="E128" s="15"/>
      <c r="F128" s="15"/>
      <c r="G128" s="15"/>
      <c r="H128" s="15"/>
      <c r="I128" s="15"/>
      <c r="J128" s="15"/>
      <c r="K128" s="15"/>
      <c r="L128" s="15"/>
    </row>
    <row r="129" spans="10:12" x14ac:dyDescent="0.2">
      <c r="J129" s="15"/>
      <c r="K129" s="15"/>
      <c r="L129" s="15"/>
    </row>
    <row r="130" spans="10:12" x14ac:dyDescent="0.2">
      <c r="J130" s="15"/>
      <c r="K130" s="15"/>
      <c r="L130" s="15"/>
    </row>
    <row r="131" spans="10:12" x14ac:dyDescent="0.2">
      <c r="J131" s="15"/>
      <c r="K131" s="15"/>
      <c r="L131" s="15"/>
    </row>
    <row r="132" spans="10:12" x14ac:dyDescent="0.2">
      <c r="J132" s="15"/>
      <c r="K132" s="15"/>
      <c r="L132" s="15"/>
    </row>
  </sheetData>
  <mergeCells count="4">
    <mergeCell ref="A66:M66"/>
    <mergeCell ref="A29:M29"/>
    <mergeCell ref="A17:M17"/>
    <mergeCell ref="A112:M112"/>
  </mergeCells>
  <conditionalFormatting sqref="E2">
    <cfRule type="cellIs" dxfId="14" priority="37" operator="greaterThanOrEqual">
      <formula>0.9</formula>
    </cfRule>
  </conditionalFormatting>
  <conditionalFormatting sqref="B2:AM13 B20:K20 B32:K32 B40:K40 B48:M48 B56:K56 B69:K69 B77:K77 B85:L85 B93:L93 B101:L101 B115:K115 B123:L123">
    <cfRule type="cellIs" dxfId="13" priority="34" operator="greaterThan">
      <formula>0.9</formula>
    </cfRule>
    <cfRule type="cellIs" dxfId="12" priority="36" operator="greaterThanOrEqual">
      <formula>0.9</formula>
    </cfRule>
  </conditionalFormatting>
  <conditionalFormatting sqref="Z33">
    <cfRule type="cellIs" dxfId="11" priority="35" operator="greaterThan">
      <formula>0.9</formula>
    </cfRule>
  </conditionalFormatting>
  <conditionalFormatting sqref="B20">
    <cfRule type="cellIs" dxfId="10" priority="33" operator="greaterThanOrEqual">
      <formula>0.9</formula>
    </cfRule>
  </conditionalFormatting>
  <conditionalFormatting sqref="B20:K20">
    <cfRule type="cellIs" dxfId="9" priority="27" operator="greaterThan">
      <formula>0.9</formula>
    </cfRule>
    <cfRule type="cellIs" dxfId="8" priority="30" operator="greaterThan">
      <formula>0.9</formula>
    </cfRule>
  </conditionalFormatting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14b77578-9773-42d5-8507-251ca2dc2b06}" enabled="0" method="" siteId="{14b77578-9773-42d5-8507-251ca2dc2b0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common_codons_10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Miller, Krista (NIH/VRC) [F]</cp:lastModifiedBy>
  <dcterms:created xsi:type="dcterms:W3CDTF">2024-07-29T21:59:21Z</dcterms:created>
  <dcterms:modified xsi:type="dcterms:W3CDTF">2024-08-03T18:21:47Z</dcterms:modified>
</cp:coreProperties>
</file>